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6248425fcbf41eb" /></Relationships>
</file>

<file path=xl/workbook.xml><?xml version="1.0" encoding="utf-8"?>
<x:workbook xmlns:x="http://schemas.openxmlformats.org/spreadsheetml/2006/main">
  <x:sheets>
    <x:sheet xmlns:r="http://schemas.openxmlformats.org/officeDocument/2006/relationships" name="说明与进度" sheetId="1" r:id="Ra9be0459d7bd439f"/>
    <x:sheet xmlns:r="http://schemas.openxmlformats.org/officeDocument/2006/relationships" name="盲评明细" sheetId="2" r:id="Rbb3941c0ad224bc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1F2933"/>
      <x:name val="Arial"/>
    </x:font>
    <x:font>
      <x:b/>
      <x:sz val="10"/>
      <x:color rgb="FFFFFFFF"/>
      <x:name val="Arial"/>
    </x:font>
    <x:font>
      <x:b/>
      <x:sz val="10"/>
      <x:color rgb="FF1F2933"/>
      <x:name val="Arial"/>
    </x:font>
    <x:font>
      <x:sz val="10"/>
      <x:color rgb="FF1F2933"/>
      <x:name val="Arial"/>
    </x:font>
    <x:font>
      <x:i/>
      <x:sz val="9"/>
      <x:color rgb="FF4B5563"/>
      <x:name val="Arial"/>
    </x:font>
  </x:fonts>
  <x:fills count="7">
    <x:fill>
      <x:patternFill patternType="none"/>
    </x:fill>
    <x:fill>
      <x:patternFill patternType="gray125"/>
    </x:fill>
    <x:fill>
      <x:patternFill patternType="solid">
        <x:fgColor rgb="FF24445C"/>
      </x:patternFill>
    </x:fill>
    <x:fill>
      <x:patternFill patternType="solid">
        <x:fgColor rgb="FFEEF5F8"/>
      </x:patternFill>
    </x:fill>
    <x:fill>
      <x:patternFill patternType="solid">
        <x:fgColor rgb="FFFFF2CC"/>
      </x:patternFill>
    </x:fill>
    <x:fill>
      <x:patternFill patternType="solid">
        <x:fgColor rgb="FFDCEAF2"/>
      </x:patternFill>
    </x:fill>
    <x:fill>
      <x:patternFill patternType="solid">
        <x:fgColor rgb="FFF2F2F2"/>
      </x:patternFill>
    </x:fill>
  </x:fills>
  <x:borders count="13">
    <x:border/>
    <x:border>
      <x:bottom style="thin">
        <x:color rgb="FF24445C"/>
      </x:bottom>
    </x:border>
    <x:border>
      <x:left style="thin">
        <x:color rgb="FF24445C"/>
      </x:left>
      <x:top style="thin">
        <x:color rgb="FF24445C"/>
      </x:top>
      <x:bottom style="thin">
        <x:color rgb="FF24445C"/>
      </x:bottom>
    </x:border>
    <x:border>
      <x:right style="thin">
        <x:color rgb="FF24445C"/>
      </x:right>
      <x:top style="thin">
        <x:color rgb="FF24445C"/>
      </x:top>
      <x:bottom style="thin">
        <x:color rgb="FF24445C"/>
      </x:bottom>
    </x:border>
    <x:border>
      <x:top style="thin">
        <x:color rgb="FF24445C"/>
      </x:top>
      <x:bottom style="thin">
        <x:color rgb="FF24445C"/>
      </x:bottom>
    </x:border>
    <x:border>
      <x:left style="thin">
        <x:color rgb="FFC9D2D8"/>
      </x:left>
      <x:top style="thin">
        <x:color rgb="FFC9D2D8"/>
      </x:top>
    </x:border>
    <x:border>
      <x:right style="thin">
        <x:color rgb="FFC9D2D8"/>
      </x:right>
      <x:top style="thin">
        <x:color rgb="FFC9D2D8"/>
      </x:top>
    </x:border>
    <x:border>
      <x:left style="thin">
        <x:color rgb="FFC9D2D8"/>
      </x:left>
    </x:border>
    <x:border>
      <x:right style="thin">
        <x:color rgb="FFC9D2D8"/>
      </x:right>
    </x:border>
    <x:border>
      <x:left style="thin">
        <x:color rgb="FFC9D2D8"/>
      </x:left>
      <x:bottom style="thin">
        <x:color rgb="FFC9D2D8"/>
      </x:bottom>
    </x:border>
    <x:border>
      <x:right style="thin">
        <x:color rgb="FFC9D2D8"/>
      </x:right>
      <x:bottom style="thin">
        <x:color rgb="FFC9D2D8"/>
      </x:bottom>
    </x:border>
    <x:border>
      <x:top style="thin">
        <x:color rgb="FFC9D2D8"/>
      </x:top>
    </x:border>
    <x:border>
      <x:bottom style="thin">
        <x:color rgb="FFC9D2D8"/>
      </x:bottom>
    </x:border>
  </x:borders>
  <x:cellStyleXfs count="1">
    <x:xf numFmtId="0" fontId="0" fillId="0" borderId="0"/>
  </x:cellStyleXfs>
  <x:cellXfs count="8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0" fillId="0" borderId="1"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2" xfId="0" applyNumberFormat="1" applyFont="1" applyFill="1" applyBorder="1" applyAlignment="1">
      <x:alignment horizontal="center"/>
    </x:xf>
    <x:xf numFmtId="0" fontId="2" fillId="2" borderId="3" xfId="0" applyNumberFormat="1" applyFont="1" applyFill="1" applyBorder="1" applyAlignment="1">
      <x:alignment horizontal="center"/>
    </x:xf>
    <x:xf numFmtId="0" fontId="2" fillId="2" borderId="2" xfId="0" applyNumberFormat="1" applyFont="1" applyFill="1" applyBorder="1" applyAlignment="1">
      <x:alignment horizontal="center" vertical="center"/>
    </x:xf>
    <x:xf numFmtId="0" fontId="2" fillId="2" borderId="3" xfId="0" applyNumberFormat="1" applyFont="1" applyFill="1" applyBorder="1" applyAlignment="1">
      <x:alignment horizontal="center" vertical="center"/>
    </x:xf>
    <x:xf numFmtId="0" fontId="2" fillId="2" borderId="4" xfId="0" applyNumberFormat="1" applyFont="1" applyFill="1" applyBorder="1"/>
    <x:xf numFmtId="0" fontId="2" fillId="2" borderId="4" xfId="0" applyNumberFormat="1" applyFont="1" applyFill="1" applyBorder="1" applyAlignment="1">
      <x:alignment horizontal="center"/>
    </x:xf>
    <x:xf numFmtId="0" fontId="2" fillId="2" borderId="4" xfId="0" applyNumberFormat="1" applyFont="1" applyFill="1" applyBorder="1" applyAlignment="1">
      <x:alignment horizontal="center" vertical="center"/>
    </x:xf>
    <x:xf numFmtId="0" fontId="3" fillId="2" borderId="2" xfId="0" applyNumberFormat="1" applyFont="1" applyFill="1" applyBorder="1" applyAlignment="1">
      <x:alignment horizontal="center" vertical="center"/>
    </x:xf>
    <x:xf numFmtId="0" fontId="3" fillId="2" borderId="3" xfId="0" applyNumberFormat="1" applyFont="1" applyFill="1" applyBorder="1" applyAlignment="1">
      <x:alignment horizontal="center" vertical="center"/>
    </x:xf>
    <x:xf numFmtId="0" fontId="4" fillId="0" borderId="0" xfId="0" applyNumberFormat="1" applyFont="1" applyFill="1" applyBorder="1"/>
    <x:xf numFmtId="0" fontId="3" fillId="2" borderId="4" xfId="0" applyNumberFormat="1" applyFont="1" applyFill="1" applyBorder="1" applyAlignment="1">
      <x:alignment horizontal="center" vertical="center"/>
    </x:xf>
    <x:xf numFmtId="0" fontId="3" fillId="0" borderId="0" xfId="0" applyNumberFormat="1" applyFont="1" applyFill="1" applyBorder="1"/>
    <x:xf numFmtId="0" fontId="3" fillId="0" borderId="5" xfId="0" applyNumberFormat="1" applyFont="1" applyFill="1" applyBorder="1"/>
    <x:xf numFmtId="0" fontId="4" fillId="0" borderId="6" xfId="0" applyNumberFormat="1" applyFont="1" applyFill="1" applyBorder="1"/>
    <x:xf numFmtId="0" fontId="3" fillId="0" borderId="7" xfId="0" applyNumberFormat="1" applyFont="1" applyFill="1" applyBorder="1"/>
    <x:xf numFmtId="0" fontId="4" fillId="0" borderId="8" xfId="0" applyNumberFormat="1" applyFont="1" applyFill="1" applyBorder="1"/>
    <x:xf numFmtId="0" fontId="3" fillId="0" borderId="9" xfId="0" applyNumberFormat="1" applyFont="1" applyFill="1" applyBorder="1"/>
    <x:xf numFmtId="0" fontId="4" fillId="0" borderId="10" xfId="0" applyNumberFormat="1" applyFont="1" applyFill="1" applyBorder="1"/>
    <x:xf numFmtId="0" fontId="4" fillId="0" borderId="5" xfId="0" applyNumberFormat="1" applyFont="1" applyFill="1" applyBorder="1"/>
    <x:xf numFmtId="0" fontId="4" fillId="0" borderId="7" xfId="0" applyNumberFormat="1" applyFont="1" applyFill="1" applyBorder="1"/>
    <x:xf numFmtId="0" fontId="4" fillId="0" borderId="9"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3" borderId="6" xfId="0" applyNumberFormat="1" applyFont="1" applyFill="1" applyBorder="1"/>
    <x:xf numFmtId="0" fontId="4" fillId="3" borderId="8" xfId="0" applyNumberFormat="1" applyFont="1" applyFill="1" applyBorder="1"/>
    <x:xf numFmtId="0" fontId="4" fillId="3" borderId="10" xfId="0" applyNumberFormat="1" applyFont="1" applyFill="1" applyBorder="1"/>
    <x:xf numFmtId="0" fontId="4" fillId="4" borderId="9" xfId="0" applyNumberFormat="1" applyFont="1" applyFill="1" applyBorder="1"/>
    <x:xf numFmtId="0" fontId="4" fillId="4" borderId="10" xfId="0" applyNumberFormat="1" applyFont="1" applyFill="1" applyBorder="1"/>
    <x:xf numFmtId="0" fontId="4" fillId="5" borderId="5" xfId="0" applyNumberFormat="1" applyFont="1" applyFill="1" applyBorder="1"/>
    <x:xf numFmtId="0" fontId="4" fillId="5" borderId="7" xfId="0" applyNumberFormat="1" applyFont="1" applyFill="1" applyBorder="1"/>
    <x:xf numFmtId="0" fontId="4" fillId="5" borderId="9" xfId="0" applyNumberFormat="1" applyFont="1" applyFill="1" applyBorder="1"/>
    <x:xf numFmtId="0" fontId="3" fillId="5" borderId="5" xfId="0" applyNumberFormat="1" applyFont="1" applyFill="1" applyBorder="1"/>
    <x:xf numFmtId="0" fontId="3" fillId="5" borderId="7" xfId="0" applyNumberFormat="1" applyFont="1" applyFill="1" applyBorder="1"/>
    <x:xf numFmtId="0" fontId="3" fillId="5" borderId="9" xfId="0" applyNumberFormat="1" applyFont="1" applyFill="1" applyBorder="1"/>
    <x:xf numFmtId="0" fontId="4" fillId="6"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0" borderId="1" xfId="0" applyNumberFormat="1" applyFont="1" applyFill="1" applyBorder="1" applyAlignment="1">
      <x:alignment vertical="center"/>
    </x:xf>
    <x:xf numFmtId="0" fontId="0"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3" fillId="0" borderId="5" xfId="0" applyNumberFormat="1" applyFont="1" applyFill="1" applyBorder="1" applyAlignment="1">
      <x:alignment vertical="center"/>
    </x:xf>
    <x:xf numFmtId="0" fontId="4" fillId="3" borderId="6" xfId="0" applyNumberFormat="1" applyFont="1" applyFill="1" applyBorder="1" applyAlignment="1">
      <x:alignment vertical="center"/>
    </x:xf>
    <x:xf numFmtId="0" fontId="4" fillId="0" borderId="5" xfId="0" applyNumberFormat="1" applyFont="1" applyFill="1" applyBorder="1" applyAlignment="1">
      <x:alignment vertical="center"/>
    </x:xf>
    <x:xf numFmtId="0" fontId="4" fillId="0" borderId="6" xfId="0" applyNumberFormat="1" applyFont="1" applyFill="1" applyBorder="1" applyAlignment="1">
      <x:alignment vertical="center"/>
    </x:xf>
    <x:xf numFmtId="0" fontId="3" fillId="0" borderId="7" xfId="0" applyNumberFormat="1" applyFont="1" applyFill="1" applyBorder="1" applyAlignment="1">
      <x:alignment vertical="center"/>
    </x:xf>
    <x:xf numFmtId="0" fontId="4" fillId="3" borderId="8" xfId="0" applyNumberFormat="1" applyFont="1" applyFill="1" applyBorder="1" applyAlignment="1">
      <x:alignment vertical="center"/>
    </x:xf>
    <x:xf numFmtId="0" fontId="4" fillId="0" borderId="7" xfId="0" applyNumberFormat="1" applyFont="1" applyFill="1" applyBorder="1" applyAlignment="1">
      <x:alignment vertical="center"/>
    </x:xf>
    <x:xf numFmtId="0" fontId="4" fillId="0" borderId="8" xfId="0" applyNumberFormat="1" applyFont="1" applyFill="1" applyBorder="1" applyAlignment="1">
      <x:alignment vertical="center"/>
    </x:xf>
    <x:xf numFmtId="0" fontId="3" fillId="0" borderId="9" xfId="0" applyNumberFormat="1" applyFont="1" applyFill="1" applyBorder="1" applyAlignment="1">
      <x:alignment vertical="center"/>
    </x:xf>
    <x:xf numFmtId="0" fontId="4" fillId="3" borderId="10" xfId="0" applyNumberFormat="1" applyFont="1" applyFill="1" applyBorder="1" applyAlignment="1">
      <x:alignment vertical="center"/>
    </x:xf>
    <x:xf numFmtId="0" fontId="4" fillId="4" borderId="9" xfId="0" applyNumberFormat="1" applyFont="1" applyFill="1" applyBorder="1" applyAlignment="1">
      <x:alignment vertical="center"/>
    </x:xf>
    <x:xf numFmtId="0" fontId="4" fillId="4" borderId="10" xfId="0" applyNumberFormat="1" applyFont="1" applyFill="1" applyBorder="1" applyAlignment="1">
      <x:alignment vertical="center"/>
    </x:xf>
    <x:xf numFmtId="0" fontId="4" fillId="0" borderId="11" xfId="0" applyNumberFormat="1" applyFont="1" applyFill="1" applyBorder="1" applyAlignment="1">
      <x:alignment vertical="center"/>
    </x:xf>
    <x:xf numFmtId="0" fontId="4" fillId="0" borderId="9" xfId="0" applyNumberFormat="1" applyFont="1" applyFill="1" applyBorder="1" applyAlignment="1">
      <x:alignment vertical="center"/>
    </x:xf>
    <x:xf numFmtId="0" fontId="4" fillId="0" borderId="12" xfId="0" applyNumberFormat="1" applyFont="1" applyFill="1" applyBorder="1" applyAlignment="1">
      <x:alignment vertical="center"/>
    </x:xf>
    <x:xf numFmtId="0" fontId="4" fillId="0" borderId="10" xfId="0" applyNumberFormat="1" applyFont="1" applyFill="1" applyBorder="1" applyAlignment="1">
      <x:alignment vertical="center"/>
    </x:xf>
    <x:xf numFmtId="0" fontId="3" fillId="5" borderId="5" xfId="0" applyNumberFormat="1" applyFont="1" applyFill="1" applyBorder="1" applyAlignment="1">
      <x:alignment vertical="center"/>
    </x:xf>
    <x:xf numFmtId="0" fontId="3" fillId="5" borderId="7" xfId="0" applyNumberFormat="1" applyFont="1" applyFill="1" applyBorder="1" applyAlignment="1">
      <x:alignment vertical="center"/>
    </x:xf>
    <x:xf numFmtId="0" fontId="3" fillId="5" borderId="9" xfId="0" applyNumberFormat="1" applyFont="1" applyFill="1" applyBorder="1" applyAlignment="1">
      <x:alignment vertical="center"/>
    </x:xf>
    <x:xf numFmtId="0" fontId="2" fillId="2" borderId="2" xfId="0" applyNumberFormat="1" applyFont="1" applyFill="1" applyBorder="1" applyAlignment="1">
      <x:alignment wrapText="1"/>
    </x:xf>
    <x:xf numFmtId="0" fontId="2" fillId="2" borderId="4"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2" xfId="0" applyNumberFormat="1" applyFont="1" applyFill="1" applyBorder="1" applyAlignment="1">
      <x:alignment horizontal="center" wrapText="1"/>
    </x:xf>
    <x:xf numFmtId="0" fontId="2" fillId="2" borderId="4"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2"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4" borderId="0" xfId="0" applyNumberFormat="1" applyFont="1" applyFill="1" applyBorder="1" applyAlignment="1">
      <x:alignment vertical="top"/>
    </x:xf>
    <x:xf numFmtId="0" fontId="4" fillId="4" borderId="0" xfId="0" applyNumberFormat="1" applyFont="1" applyFill="1" applyBorder="1" applyAlignment="1">
      <x:alignment vertical="top" wrapText="1"/>
    </x:xf>
    <x:xf numFmtId="0" fontId="4" fillId="6" borderId="0" xfId="0" applyNumberFormat="1" applyFont="1" applyFill="1" applyBorder="1" applyAlignment="1">
      <x:alignment vertical="top"/>
    </x:xf>
  </x:cellXfs>
  <x:cellStyles count="1">
    <x:cellStyle name="Normal" xfId="0"/>
  </x:cellStyles>
  <x:dxfs count="8">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CE4D6"/>
        </x:patternFill>
      </x:fill>
    </x:dxf>
    <x:dxf>
      <x:font>
        <x:b/>
        <x:color rgb="FF595959"/>
      </x:font>
      <x:fill>
        <x:patternFill patternType="solid">
          <x:bgColor rgb="FFF2F2F2"/>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CE4D6"/>
        </x:patternFill>
      </x:fill>
    </x:dxf>
    <x:dxf>
      <x:font>
        <x:b/>
        <x:color rgb="FF595959"/>
      </x:font>
      <x:fill>
        <x:patternFill patternType="solid">
          <x:bgColor rgb="FFF2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f9e222a8f4f429a" /><Relationship Type="http://schemas.openxmlformats.org/officeDocument/2006/relationships/theme" Target="/xl/theme/theme1.xml" Id="R9920c4c5a2b5407a" /><Relationship Type="http://schemas.openxmlformats.org/officeDocument/2006/relationships/sharedStrings" Target="/xl/sharedStrings.xml" Id="Red8f9bda6a114852" /><Relationship Type="http://schemas.openxmlformats.org/officeDocument/2006/relationships/worksheet" Target="/xl/worksheets/sheet1.xml" Id="Ra9be0459d7bd439f" /><Relationship Type="http://schemas.openxmlformats.org/officeDocument/2006/relationships/worksheet" Target="/xl/worksheets/sheet2.xml" Id="Rbb3941c0ad224bc0" /></Relationships>
</file>

<file path=xl/tables/table1.xml><?xml version="1.0" encoding="utf-8"?>
<x:table xmlns:x="http://schemas.openxmlformats.org/spreadsheetml/2006/main" id="1" name="BlindReviewTable" displayName="BlindReviewTable" ref="A1:O241" headerRowCount="1" totalsRowCount="0" totalsRowShown="0">
  <x:tableColumns count="15">
    <x:tableColumn id="1" name="blind_id"/>
    <x:tableColumn id="2" name="源语言"/>
    <x:tableColumn id="3" name="目标语言"/>
    <x:tableColumn id="4" name="场景"/>
    <x:tableColumn id="5" name="源文"/>
    <x:tableColumn id="6" name="译文 A"/>
    <x:tableColumn id="7" name="grade_A"/>
    <x:tableColumn id="8" name="errors_A"/>
    <x:tableColumn id="9" name="译文 B"/>
    <x:tableColumn id="10" name="grade_B"/>
    <x:tableColumn id="11" name="errors_B"/>
    <x:tableColumn id="12" name="审核者"/>
    <x:tableColumn id="13" name="备注"/>
    <x:tableColumn id="14" name="A/B相同"/>
    <x:tableColumn id="15" name="评分完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3d44f22af4e4ffd" /></Relationships>
</file>

<file path=xl/worksheets/sheet1.xml><?xml version="1.0" encoding="utf-8"?>
<x:worksheet xmlns:x="http://schemas.openxmlformats.org/spreadsheetml/2006/main">
  <x:sheetPr>
    <x:tabColor rgb="FF24445C"/>
  </x:sheetPr>
  <x:sheetViews>
    <x:sheetView showGridLines="0" workbookViewId="0"/>
  </x:sheetViews>
  <x:sheetFormatPr defaultRowHeight="15"/>
  <x:cols>
    <x:col min="1" max="1" width="18" hidden="0" customWidth="1"/>
    <x:col min="2" max="2" width="17" hidden="0" customWidth="1"/>
    <x:col min="3" max="3" width="13" hidden="0" customWidth="1"/>
    <x:col min="4" max="4" width="13" hidden="0" customWidth="1"/>
    <x:col min="5" max="5" width="43" hidden="0" customWidth="1"/>
    <x:col min="6" max="6" width="4" hidden="0" customWidth="1"/>
    <x:col min="7" max="7" width="4" hidden="0" customWidth="1"/>
    <x:col min="8" max="8" width="4" hidden="0" customWidth="1"/>
  </x:cols>
  <x:sheetData>
    <x:row r="2" ht="28" customHeight="1">
      <x:c r="A2" s="2" t="str">
        <x:v>四语模型真实场景盲评</x:v>
      </x:c>
      <x:c r="B2" s="2"/>
      <x:c r="C2" s="2"/>
      <x:c r="D2" s="2"/>
      <x:c r="E2" s="2"/>
      <x:c r="F2" s="2"/>
      <x:c r="G2" s="2"/>
      <x:c r="H2" s="2"/>
    </x:row>
    <x:row r="3">
      <x:c r="A3" s="47"/>
      <x:c r="B3" s="47"/>
      <x:c r="C3" s="47"/>
      <x:c r="D3" s="47"/>
      <x:c r="E3" s="47"/>
      <x:c r="F3" s="47"/>
      <x:c r="G3" s="47"/>
      <x:c r="H3" s="47"/>
    </x:row>
    <x:row r="4">
      <x:c r="A4" s="48"/>
      <x:c r="B4" s="48"/>
      <x:c r="C4" s="48"/>
      <x:c r="D4" s="48"/>
      <x:c r="E4" s="48"/>
      <x:c r="F4" s="48"/>
      <x:c r="G4" s="48"/>
      <x:c r="H4" s="48"/>
    </x:row>
    <x:row r="5">
      <x:c r="A5" s="10" t="str">
        <x:v>指标</x:v>
      </x:c>
      <x:c r="B5" s="11" t="str">
        <x:v>数量</x:v>
      </x:c>
      <x:c r="C5" s="49"/>
      <x:c r="D5" s="10" t="str">
        <x:v>评分</x:v>
      </x:c>
      <x:c r="E5" s="11" t="str">
        <x:v>定义</x:v>
      </x:c>
      <x:c r="F5" s="48"/>
      <x:c r="G5" s="48"/>
      <x:c r="H5" s="48"/>
    </x:row>
    <x:row r="6">
      <x:c r="A6" s="50" t="str">
        <x:v>案例总数</x:v>
      </x:c>
      <x:c r="B6" s="51" t="n">
        <x:f>COUNTA('盲评明细'!$A$2:$A$241)</x:f>
        <x:v>240</x:v>
      </x:c>
      <x:c r="C6" s="49"/>
      <x:c r="D6" s="52" t="str">
        <x:v>DIRECT</x:v>
      </x:c>
      <x:c r="E6" s="53" t="str">
        <x:v>无需修改即可使用</x:v>
      </x:c>
      <x:c r="F6" s="48"/>
      <x:c r="G6" s="48"/>
      <x:c r="H6" s="48"/>
    </x:row>
    <x:row r="7">
      <x:c r="A7" s="54" t="str">
        <x:v>A/B 文本完全相同</x:v>
      </x:c>
      <x:c r="B7" s="55" t="n">
        <x:f>COUNTIF('盲评明细'!$N$2:$N$241,"是")</x:f>
        <x:v>77</x:v>
      </x:c>
      <x:c r="C7" s="49"/>
      <x:c r="D7" s="56" t="str">
        <x:v>EDIT</x:v>
      </x:c>
      <x:c r="E7" s="57" t="str">
        <x:v>含义正确，需少量修改</x:v>
      </x:c>
      <x:c r="F7" s="48"/>
      <x:c r="G7" s="48"/>
      <x:c r="H7" s="48"/>
    </x:row>
    <x:row r="8">
      <x:c r="A8" s="54" t="str">
        <x:v>A/B 文本不同</x:v>
      </x:c>
      <x:c r="B8" s="55" t="n">
        <x:f>B6-B7</x:f>
        <x:v>163</x:v>
      </x:c>
      <x:c r="C8" s="49"/>
      <x:c r="D8" s="56" t="str">
        <x:v>FAIL</x:v>
      </x:c>
      <x:c r="E8" s="57" t="str">
        <x:v>含义错误、遗漏、添加或不可用</x:v>
      </x:c>
      <x:c r="F8" s="48"/>
      <x:c r="G8" s="48"/>
      <x:c r="H8" s="48"/>
    </x:row>
    <x:row r="9">
      <x:c r="A9" s="58" t="str">
        <x:v>已完成双评分</x:v>
      </x:c>
      <x:c r="B9" s="59" t="n">
        <x:f>COUNTIF('盲评明细'!$O$2:$O$241,"是")</x:f>
        <x:v>0</x:v>
      </x:c>
      <x:c r="C9" s="49"/>
      <x:c r="D9" s="56" t="str">
        <x:v>UNJUDGEABLE</x:v>
      </x:c>
      <x:c r="E9" s="57" t="str">
        <x:v>源文不清楚或审核者无法判断</x:v>
      </x:c>
      <x:c r="F9" s="48"/>
      <x:c r="G9" s="48"/>
      <x:c r="H9" s="48"/>
    </x:row>
    <x:row r="10">
      <x:c r="A10" s="49"/>
      <x:c r="B10" s="49"/>
      <x:c r="C10" s="49"/>
      <x:c r="D10" s="60" t="str">
        <x:v>注意</x:v>
      </x:c>
      <x:c r="E10" s="61" t="str">
        <x:v>A/B 身份仍需保持隐藏，不要猜测模型</x:v>
      </x:c>
      <x:c r="F10" s="48"/>
      <x:c r="G10" s="48"/>
      <x:c r="H10" s="48"/>
    </x:row>
    <x:row r="11">
      <x:c r="A11" s="49"/>
      <x:c r="B11" s="49"/>
      <x:c r="C11" s="49"/>
      <x:c r="D11" s="49"/>
      <x:c r="E11" s="49"/>
      <x:c r="F11" s="48"/>
      <x:c r="G11" s="48"/>
      <x:c r="H11" s="48"/>
    </x:row>
    <x:row r="12">
      <x:c r="A12" s="10" t="str">
        <x:v>目标语言</x:v>
      </x:c>
      <x:c r="B12" s="14" t="str">
        <x:v>案例</x:v>
      </x:c>
      <x:c r="C12" s="14" t="str">
        <x:v>已完成</x:v>
      </x:c>
      <x:c r="D12" s="14" t="str">
        <x:v>待完成</x:v>
      </x:c>
      <x:c r="E12" s="11" t="str">
        <x:v>建议审核者</x:v>
      </x:c>
      <x:c r="F12" s="48"/>
      <x:c r="G12" s="48"/>
      <x:c r="H12" s="48"/>
    </x:row>
    <x:row r="13">
      <x:c r="A13" s="52" t="str">
        <x:v>en</x:v>
      </x:c>
      <x:c r="B13" s="62" t="n">
        <x:f>COUNTIF('盲评明细'!$C$2:$C$241,A13)</x:f>
        <x:v>60</x:v>
      </x:c>
      <x:c r="C13" s="62" t="n">
        <x:f>COUNTIFS('盲评明细'!$C$2:$C$241,A13,'盲评明细'!$O$2:$O$241,"是")</x:f>
        <x:v>0</x:v>
      </x:c>
      <x:c r="D13" s="62" t="n">
        <x:f>B13-C13</x:f>
        <x:v>60</x:v>
      </x:c>
      <x:c r="E13" s="53" t="str">
        <x:v>英语母语或高水平双语者</x:v>
      </x:c>
      <x:c r="F13" s="48"/>
      <x:c r="G13" s="48"/>
      <x:c r="H13" s="48"/>
    </x:row>
    <x:row r="14">
      <x:c r="A14" s="56" t="str">
        <x:v>ru</x:v>
      </x:c>
      <x:c r="B14" s="49" t="n">
        <x:f>COUNTIF('盲评明细'!$C$2:$C$241,A14)</x:f>
        <x:v>60</x:v>
      </x:c>
      <x:c r="C14" s="49" t="n">
        <x:f>COUNTIFS('盲评明细'!$C$2:$C$241,A14,'盲评明细'!$O$2:$O$241,"是")</x:f>
        <x:v>0</x:v>
      </x:c>
      <x:c r="D14" s="49" t="n">
        <x:f>B14-C14</x:f>
        <x:v>60</x:v>
      </x:c>
      <x:c r="E14" s="57" t="str">
        <x:v>俄语母语或高水平双语者</x:v>
      </x:c>
      <x:c r="F14" s="48"/>
      <x:c r="G14" s="48"/>
      <x:c r="H14" s="48"/>
    </x:row>
    <x:row r="15">
      <x:c r="A15" s="56" t="str">
        <x:v>uz</x:v>
      </x:c>
      <x:c r="B15" s="49" t="n">
        <x:f>COUNTIF('盲评明细'!$C$2:$C$241,A15)</x:f>
        <x:v>60</x:v>
      </x:c>
      <x:c r="C15" s="49" t="n">
        <x:f>COUNTIFS('盲评明细'!$C$2:$C$241,A15,'盲评明细'!$O$2:$O$241,"是")</x:f>
        <x:v>0</x:v>
      </x:c>
      <x:c r="D15" s="49" t="n">
        <x:f>B15-C15</x:f>
        <x:v>60</x:v>
      </x:c>
      <x:c r="E15" s="57" t="str">
        <x:v>乌兹别克语母语或高水平双语者</x:v>
      </x:c>
      <x:c r="F15" s="48"/>
      <x:c r="G15" s="48"/>
      <x:c r="H15" s="48"/>
    </x:row>
    <x:row r="16">
      <x:c r="A16" s="63" t="str">
        <x:v>zh</x:v>
      </x:c>
      <x:c r="B16" s="64" t="n">
        <x:f>COUNTIF('盲评明细'!$C$2:$C$241,A16)</x:f>
        <x:v>60</x:v>
      </x:c>
      <x:c r="C16" s="64" t="n">
        <x:f>COUNTIFS('盲评明细'!$C$2:$C$241,A16,'盲评明细'!$O$2:$O$241,"是")</x:f>
        <x:v>0</x:v>
      </x:c>
      <x:c r="D16" s="64" t="n">
        <x:f>B16-C16</x:f>
        <x:v>60</x:v>
      </x:c>
      <x:c r="E16" s="65" t="str">
        <x:v>中文母语或高水平双语者</x:v>
      </x:c>
      <x:c r="F16" s="48"/>
      <x:c r="G16" s="48"/>
      <x:c r="H16" s="48"/>
    </x:row>
    <x:row r="17">
      <x:c r="A17" s="49"/>
      <x:c r="B17" s="49"/>
      <x:c r="C17" s="49"/>
      <x:c r="D17" s="49"/>
      <x:c r="E17" s="49"/>
      <x:c r="F17" s="48"/>
      <x:c r="G17" s="48"/>
      <x:c r="H17" s="48"/>
    </x:row>
    <x:row r="18">
      <x:c r="A18" s="49"/>
      <x:c r="B18" s="49"/>
      <x:c r="C18" s="49"/>
      <x:c r="D18" s="49"/>
      <x:c r="E18" s="49"/>
      <x:c r="F18" s="48"/>
      <x:c r="G18" s="48"/>
      <x:c r="H18" s="48"/>
    </x:row>
    <x:row r="19">
      <x:c r="A19" s="10" t="str">
        <x:v>操作顺序</x:v>
      </x:c>
      <x:c r="B19" s="14" t="str">
        <x:v>说明</x:v>
      </x:c>
      <x:c r="C19" s="14"/>
      <x:c r="D19" s="14"/>
      <x:c r="E19" s="11"/>
      <x:c r="F19" s="48"/>
      <x:c r="G19" s="48"/>
      <x:c r="H19" s="48"/>
    </x:row>
    <x:row r="20" ht="29" customHeight="1">
      <x:c r="A20" s="66" t="n">
        <x:v>1</x:v>
      </x:c>
      <x:c r="B20" s="62" t="str">
        <x:v>在“盲评明细”中按目标语言筛选，每位审核者只评自己能可靠判断的目标语言。</x:v>
      </x:c>
      <x:c r="C20" s="62"/>
      <x:c r="D20" s="62"/>
      <x:c r="E20" s="53"/>
      <x:c r="F20" s="48"/>
      <x:c r="G20" s="48"/>
      <x:c r="H20" s="48"/>
    </x:row>
    <x:row r="21" ht="29" customHeight="1">
      <x:c r="A21" s="67" t="n">
        <x:v>2</x:v>
      </x:c>
      <x:c r="B21" s="49" t="str">
        <x:v>分别填写 grade_A 和 grade_B；完全相同的 A/B 也要分别评分。</x:v>
      </x:c>
      <x:c r="C21" s="49"/>
      <x:c r="D21" s="49"/>
      <x:c r="E21" s="57"/>
      <x:c r="F21" s="48"/>
      <x:c r="G21" s="48"/>
      <x:c r="H21" s="48"/>
    </x:row>
    <x:row r="22" ht="29" customHeight="1">
      <x:c r="A22" s="67" t="n">
        <x:v>3</x:v>
      </x:c>
      <x:c r="B22" s="49" t="str">
        <x:v>错误标签可填写：mistranslation、omission、addition、grammar、terminology、fluency、format。</x:v>
      </x:c>
      <x:c r="C22" s="49"/>
      <x:c r="D22" s="49"/>
      <x:c r="E22" s="57"/>
      <x:c r="F22" s="48"/>
      <x:c r="G22" s="48"/>
      <x:c r="H22" s="48"/>
    </x:row>
    <x:row r="23" ht="29" customHeight="1">
      <x:c r="A23" s="68" t="n">
        <x:v>4</x:v>
      </x:c>
      <x:c r="B23" s="64" t="str">
        <x:v>审核完成后保留原文件，另存带评分版本；之后再揭盲汇总 Exp1 与 Exp2。</x:v>
      </x:c>
      <x:c r="C23" s="64"/>
      <x:c r="D23" s="64"/>
      <x:c r="E23" s="65"/>
      <x:c r="F23" s="48"/>
      <x:c r="G23" s="48"/>
      <x:c r="H23" s="48"/>
    </x:row>
    <x:row r="24">
      <x:c r="A24" s="49"/>
      <x:c r="B24" s="49"/>
      <x:c r="C24" s="49"/>
      <x:c r="D24" s="49"/>
      <x:c r="E24" s="49"/>
      <x:c r="F24" s="48"/>
      <x:c r="G24" s="48"/>
      <x:c r="H24" s="48"/>
    </x:row>
    <x:row r="25" ht="30" customHeight="1">
      <x:c r="A25" s="46" t="str">
        <x:v>来源：acceptance_pilot_v2 的 blind_review.jsonl，共 240 个案例。该集合仅用于验收，不得回流训练。</x:v>
      </x:c>
      <x:c r="B25" s="46"/>
      <x:c r="C25" s="46"/>
      <x:c r="D25" s="46"/>
      <x:c r="E25" s="46"/>
      <x:c r="F25" s="46"/>
      <x:c r="G25" s="46"/>
      <x:c r="H25" s="46"/>
    </x:row>
  </x:sheetData>
  <x:mergeCells>
    <x:mergeCell ref="A2:H2"/>
    <x:mergeCell ref="B20:E20"/>
    <x:mergeCell ref="B21:E21"/>
    <x:mergeCell ref="B22:E22"/>
    <x:mergeCell ref="B23:E23"/>
    <x:mergeCell ref="A25:H25"/>
  </x:mergeCells>
  <x:pageMargins left="0.7" right="0.7" top="0.75" bottom="0.75" header="0.3" footer="0.3"/>
</x:worksheet>
</file>

<file path=xl/worksheets/sheet2.xml><?xml version="1.0" encoding="utf-8"?>
<x:worksheet xmlns:x="http://schemas.openxmlformats.org/spreadsheetml/2006/main">
  <x:sheetPr>
    <x:tabColor rgb="FF5D7F95"/>
  </x:sheetPr>
  <x:sheetViews>
    <x:sheetView showGridLines="0" workbookViewId="0">
      <x:pane xSplit="4" ySplit="1" topLeftCell="E2" activePane="bottomRight" state="frozen"/>
    </x:sheetView>
  </x:sheetViews>
  <x:sheetFormatPr defaultRowHeight="15"/>
  <x:cols>
    <x:col min="1" max="1" width="25" hidden="0" customWidth="1"/>
    <x:col min="2" max="2" width="10" hidden="0" customWidth="1"/>
    <x:col min="3" max="3" width="10" hidden="0" customWidth="1"/>
    <x:col min="4" max="4" width="12" hidden="0" customWidth="1"/>
    <x:col min="5" max="5" width="46" hidden="0" customWidth="1"/>
    <x:col min="6" max="6" width="46" hidden="0" customWidth="1"/>
    <x:col min="7" max="7" width="16" hidden="0" customWidth="1"/>
    <x:col min="8" max="8" width="24" hidden="0" customWidth="1"/>
    <x:col min="9" max="9" width="46" hidden="0" customWidth="1"/>
    <x:col min="10" max="10" width="16" hidden="0" customWidth="1"/>
    <x:col min="11" max="11" width="24" hidden="0" customWidth="1"/>
    <x:col min="12" max="12" width="16" hidden="0" customWidth="1"/>
    <x:col min="13" max="13" width="32" hidden="0" customWidth="1"/>
    <x:col min="14" max="14" width="12" hidden="0" customWidth="1"/>
    <x:col min="15" max="15" width="12" hidden="0" customWidth="1"/>
  </x:cols>
  <x:sheetData>
    <x:row r="1" ht="28" customHeight="1">
      <x:c r="A1" s="75" t="str">
        <x:v>blind_id</x:v>
      </x:c>
      <x:c r="B1" s="76" t="str">
        <x:v>源语言</x:v>
      </x:c>
      <x:c r="C1" s="76" t="str">
        <x:v>目标语言</x:v>
      </x:c>
      <x:c r="D1" s="76" t="str">
        <x:v>场景</x:v>
      </x:c>
      <x:c r="E1" s="76" t="str">
        <x:v>源文</x:v>
      </x:c>
      <x:c r="F1" s="76" t="str">
        <x:v>译文 A</x:v>
      </x:c>
      <x:c r="G1" s="76" t="str">
        <x:v>grade_A</x:v>
      </x:c>
      <x:c r="H1" s="76" t="str">
        <x:v>errors_A</x:v>
      </x:c>
      <x:c r="I1" s="76" t="str">
        <x:v>译文 B</x:v>
      </x:c>
      <x:c r="J1" s="76" t="str">
        <x:v>grade_B</x:v>
      </x:c>
      <x:c r="K1" s="76" t="str">
        <x:v>errors_B</x:v>
      </x:c>
      <x:c r="L1" s="76" t="str">
        <x:v>审核者</x:v>
      </x:c>
      <x:c r="M1" s="76" t="str">
        <x:v>备注</x:v>
      </x:c>
      <x:c r="N1" s="76" t="str">
        <x:v>A/B相同</x:v>
      </x:c>
      <x:c r="O1" s="77" t="str">
        <x:v>评分完成</x:v>
      </x:c>
    </x:row>
    <x:row r="2" ht="54" customHeight="1">
      <x:c r="A2" s="78" t="str">
        <x:v>case-1edffb907f264b04</x:v>
      </x:c>
      <x:c r="B2" s="78" t="str">
        <x:v>uz</x:v>
      </x:c>
      <x:c r="C2" s="78" t="str">
        <x:v>zh</x:v>
      </x:c>
      <x:c r="D2" s="78" t="str">
        <x:v>日常</x:v>
      </x:c>
      <x:c r="E2" s="79" t="str">
        <x:v>Bugun uchrasha olmayman, lekin ertaga tushlikdan keyin vaqtim bor.</x:v>
      </x:c>
      <x:c r="F2" s="79" t="str">
        <x:v>我今天不能见面,但明天午饭后我有时间。</x:v>
      </x:c>
      <x:c r="G2" s="80" t="str"/>
      <x:c r="H2" s="80" t="str"/>
      <x:c r="I2" s="79" t="str">
        <x:v>我今天不能见面,但明天午饭后我有时间.</x:v>
      </x:c>
      <x:c r="J2" s="80" t="str"/>
      <x:c r="K2" s="80" t="str"/>
      <x:c r="L2" s="80" t="str"/>
      <x:c r="M2" s="81" t="str"/>
      <x:c r="N2" s="82" t="str">
        <x:f>IF(F2=I2,"是","否")</x:f>
        <x:v>否</x:v>
      </x:c>
      <x:c r="O2" s="82" t="str">
        <x:f>IF(AND(G2&lt;&gt;"",J2&lt;&gt;""),"是","否")</x:f>
        <x:v>否</x:v>
      </x:c>
    </x:row>
    <x:row r="3" ht="54" customHeight="1">
      <x:c r="A3" s="78" t="str">
        <x:v>case-48312bd91a502bf0</x:v>
      </x:c>
      <x:c r="B3" s="78" t="str">
        <x:v>en</x:v>
      </x:c>
      <x:c r="C3" s="78" t="str">
        <x:v>zh</x:v>
      </x:c>
      <x:c r="D3" s="78" t="str">
        <x:v>出行</x:v>
      </x:c>
      <x:c r="E3" s="79" t="str">
        <x:v>I'd like a return ticket for Tuesday, coming back on Thursday, with no reserved seat.</x:v>
      </x:c>
      <x:c r="F3" s="79" t="str">
        <x:v>我想要星期二的回车票,星期四回来,没有预留的座位。</x:v>
      </x:c>
      <x:c r="G3" s="80" t="str"/>
      <x:c r="H3" s="80" t="str"/>
      <x:c r="I3" s="79" t="str">
        <x:v>我想要星期二的回车票,星期四回来,没有预留的座位。</x:v>
      </x:c>
      <x:c r="J3" s="80" t="str"/>
      <x:c r="K3" s="80" t="str"/>
      <x:c r="L3" s="80" t="str"/>
      <x:c r="M3" s="81" t="str"/>
      <x:c r="N3" s="82" t="str">
        <x:f>IF(F3=I3,"是","否")</x:f>
        <x:v>是</x:v>
      </x:c>
      <x:c r="O3" s="82" t="str">
        <x:f>IF(AND(G3&lt;&gt;"",J3&lt;&gt;""),"是","否")</x:f>
        <x:v>否</x:v>
      </x:c>
    </x:row>
    <x:row r="4" ht="54" customHeight="1">
      <x:c r="A4" s="78" t="str">
        <x:v>case-dee02c75e56b76cb</x:v>
      </x:c>
      <x:c r="B4" s="78" t="str">
        <x:v>en</x:v>
      </x:c>
      <x:c r="C4" s="78" t="str">
        <x:v>uz</x:v>
      </x:c>
      <x:c r="D4" s="78" t="str">
        <x:v>售后</x:v>
      </x:c>
      <x:c r="E4" s="79" t="str">
        <x:v>The refund covers the item but not the delivery charge. Is that what you intended?</x:v>
      </x:c>
      <x:c r="F4" s="79" t="str">
        <x:v>Qayta tiklash buyumni qamrab oladi, lekin etkazib berish to'lovi emas. Siz buni xohladingizmi?</x:v>
      </x:c>
      <x:c r="G4" s="80" t="str"/>
      <x:c r="H4" s="80" t="str"/>
      <x:c r="I4" s="79" t="str">
        <x:v>Qayta tiklash buyumni qoplaydi, lekin etkazib berish to'lovi emas. Siz buni xohlaganmisiz?</x:v>
      </x:c>
      <x:c r="J4" s="80" t="str"/>
      <x:c r="K4" s="80" t="str"/>
      <x:c r="L4" s="80" t="str"/>
      <x:c r="M4" s="81" t="str"/>
      <x:c r="N4" s="82" t="str">
        <x:f>IF(F4=I4,"是","否")</x:f>
        <x:v>否</x:v>
      </x:c>
      <x:c r="O4" s="82" t="str">
        <x:f>IF(AND(G4&lt;&gt;"",J4&lt;&gt;""),"是","否")</x:f>
        <x:v>否</x:v>
      </x:c>
    </x:row>
    <x:row r="5" ht="54" customHeight="1">
      <x:c r="A5" s="78" t="str">
        <x:v>case-e33c1867fc38fca2</x:v>
      </x:c>
      <x:c r="B5" s="78" t="str">
        <x:v>uz</x:v>
      </x:c>
      <x:c r="C5" s="78" t="str">
        <x:v>zh</x:v>
      </x:c>
      <x:c r="D5" s="78" t="str">
        <x:v>出行</x:v>
      </x:c>
      <x:c r="E5" s="79" t="str">
        <x:v>Agar avtobus o'n daqiqada kelmasa, taksida ketamiz.</x:v>
      </x:c>
      <x:c r="F5" s="79" t="str">
        <x:v>如果公交车不到十分钟,我们就坐出租车去。</x:v>
      </x:c>
      <x:c r="G5" s="80" t="str"/>
      <x:c r="H5" s="80" t="str"/>
      <x:c r="I5" s="79" t="str">
        <x:v>如果巴士不到十分钟,我们就搭出租车去。</x:v>
      </x:c>
      <x:c r="J5" s="80" t="str"/>
      <x:c r="K5" s="80" t="str"/>
      <x:c r="L5" s="80" t="str"/>
      <x:c r="M5" s="81" t="str"/>
      <x:c r="N5" s="82" t="str">
        <x:f>IF(F5=I5,"是","否")</x:f>
        <x:v>否</x:v>
      </x:c>
      <x:c r="O5" s="82" t="str">
        <x:f>IF(AND(G5&lt;&gt;"",J5&lt;&gt;""),"是","否")</x:f>
        <x:v>否</x:v>
      </x:c>
    </x:row>
    <x:row r="6" ht="54" customHeight="1">
      <x:c r="A6" s="78" t="str">
        <x:v>case-e10ad6ed600cb13d</x:v>
      </x:c>
      <x:c r="B6" s="78" t="str">
        <x:v>uz</x:v>
      </x:c>
      <x:c r="C6" s="78" t="str">
        <x:v>ru</x:v>
      </x:c>
      <x:c r="D6" s="78" t="str">
        <x:v>工作学习</x:v>
      </x:c>
      <x:c r="E6" s="79" t="str">
        <x:v>Bu xulosani tasdiqlash uchun ma'lumot yetarli emas. Hozircha uni taxmin deb ko'rsating.</x:v>
      </x:c>
      <x:c r="F6" s="79" t="str">
        <x:v>Данные недостаточно, чтобы подтвердить это заключение. Пока что укажите его как предположение.</x:v>
      </x:c>
      <x:c r="G6" s="80" t="str"/>
      <x:c r="H6" s="80" t="str"/>
      <x:c r="I6" s="79" t="str">
        <x:v>Данные недостаточно, чтобы подтвердить это заключение. Пока что считать его предположением.</x:v>
      </x:c>
      <x:c r="J6" s="80" t="str"/>
      <x:c r="K6" s="80" t="str"/>
      <x:c r="L6" s="80" t="str"/>
      <x:c r="M6" s="81" t="str"/>
      <x:c r="N6" s="82" t="str">
        <x:f>IF(F6=I6,"是","否")</x:f>
        <x:v>否</x:v>
      </x:c>
      <x:c r="O6" s="82" t="str">
        <x:f>IF(AND(G6&lt;&gt;"",J6&lt;&gt;""),"是","否")</x:f>
        <x:v>否</x:v>
      </x:c>
    </x:row>
    <x:row r="7" ht="54" customHeight="1">
      <x:c r="A7" s="78" t="str">
        <x:v>case-6ebd62e791f68c84</x:v>
      </x:c>
      <x:c r="B7" s="78" t="str">
        <x:v>zh</x:v>
      </x:c>
      <x:c r="C7" s="78" t="str">
        <x:v>uz</x:v>
      </x:c>
      <x:c r="D7" s="78" t="str">
        <x:v>日常</x:v>
      </x:c>
      <x:c r="E7" s="79" t="str">
        <x:v>小林把钥匙交给了小周，请你联系小周取钥匙。</x:v>
      </x:c>
      <x:c r="F7" s="79" t="str">
        <x:v>Kichik Lin kalitni Kichik Wikiga berdi, iltimos, siz Kichik Wiki bilan bog'laning va kalit oling.</x:v>
      </x:c>
      <x:c r="G7" s="80" t="str"/>
      <x:c r="H7" s="80" t="str"/>
      <x:c r="I7" s="79" t="str">
        <x:v>Kichik Lin Xitoyga kalitni berdi, iltimos, Xitoy bilan bog'laning va kalitni oling.</x:v>
      </x:c>
      <x:c r="J7" s="80" t="str"/>
      <x:c r="K7" s="80" t="str"/>
      <x:c r="L7" s="80" t="str"/>
      <x:c r="M7" s="81" t="str"/>
      <x:c r="N7" s="82" t="str">
        <x:f>IF(F7=I7,"是","否")</x:f>
        <x:v>否</x:v>
      </x:c>
      <x:c r="O7" s="82" t="str">
        <x:f>IF(AND(G7&lt;&gt;"",J7&lt;&gt;""),"是","否")</x:f>
        <x:v>否</x:v>
      </x:c>
    </x:row>
    <x:row r="8" ht="54" customHeight="1">
      <x:c r="A8" s="78" t="str">
        <x:v>case-7ea73e0b2e30e4c8</x:v>
      </x:c>
      <x:c r="B8" s="78" t="str">
        <x:v>ru</x:v>
      </x:c>
      <x:c r="C8" s="78" t="str">
        <x:v>zh</x:v>
      </x:c>
      <x:c r="D8" s="78" t="str">
        <x:v>日常</x:v>
      </x:c>
      <x:c r="E8" s="79" t="str">
        <x:v>Я не расслышал последнее слово. Не могли бы вы повторить только конец фразы?</x:v>
      </x:c>
      <x:c r="F8" s="79" t="str">
        <x:v>我没听到最后一句话。你只能重复句子嘅最后一句话吗?</x:v>
      </x:c>
      <x:c r="G8" s="80" t="str"/>
      <x:c r="H8" s="80" t="str"/>
      <x:c r="I8" s="79" t="str">
        <x:v>我没有听到最后一句话。你能否只重复句子的最后一句话?</x:v>
      </x:c>
      <x:c r="J8" s="80" t="str"/>
      <x:c r="K8" s="80" t="str"/>
      <x:c r="L8" s="80" t="str"/>
      <x:c r="M8" s="81" t="str"/>
      <x:c r="N8" s="82" t="str">
        <x:f>IF(F8=I8,"是","否")</x:f>
        <x:v>否</x:v>
      </x:c>
      <x:c r="O8" s="82" t="str">
        <x:f>IF(AND(G8&lt;&gt;"",J8&lt;&gt;""),"是","否")</x:f>
        <x:v>否</x:v>
      </x:c>
    </x:row>
    <x:row r="9" ht="54" customHeight="1">
      <x:c r="A9" s="78" t="str">
        <x:v>case-85cb9b2a4887da77</x:v>
      </x:c>
      <x:c r="B9" s="78" t="str">
        <x:v>zh</x:v>
      </x:c>
      <x:c r="C9" s="78" t="str">
        <x:v>uz</x:v>
      </x:c>
      <x:c r="D9" s="78" t="str">
        <x:v>售后</x:v>
      </x:c>
      <x:c r="E9" s="79" t="str">
        <x:v>如果今天不能送到，请先联系我，不要把包裹放在门外。</x:v>
      </x:c>
      <x:c r="F9" s="79" t="str">
        <x:v>Agar bugun jo'natish mumkin bo'lmasa, avval menga murojaat qiling va paketni eshikdan tashlab qo'ymang.</x:v>
      </x:c>
      <x:c r="G9" s="80" t="str"/>
      <x:c r="H9" s="80" t="str"/>
      <x:c r="I9" s="79" t="str">
        <x:v>Agar bugun yetkazib bera olmasangiz, avval menga murojaat qiling va paketni eshikdan tashlab qo'ymang.</x:v>
      </x:c>
      <x:c r="J9" s="80" t="str"/>
      <x:c r="K9" s="80" t="str"/>
      <x:c r="L9" s="80" t="str"/>
      <x:c r="M9" s="81" t="str"/>
      <x:c r="N9" s="82" t="str">
        <x:f>IF(F9=I9,"是","否")</x:f>
        <x:v>否</x:v>
      </x:c>
      <x:c r="O9" s="82" t="str">
        <x:f>IF(AND(G9&lt;&gt;"",J9&lt;&gt;""),"是","否")</x:f>
        <x:v>否</x:v>
      </x:c>
    </x:row>
    <x:row r="10" ht="54" customHeight="1">
      <x:c r="A10" s="78" t="str">
        <x:v>case-02f292d4bcbfdfc7</x:v>
      </x:c>
      <x:c r="B10" s="78" t="str">
        <x:v>uz</x:v>
      </x:c>
      <x:c r="C10" s="78" t="str">
        <x:v>en</x:v>
      </x:c>
      <x:c r="D10" s="78" t="str">
        <x:v>售后</x:v>
      </x:c>
      <x:c r="E10" s="79" t="str">
        <x:v>Yetkazib berish narxi ko'rsatilgan summaga kiradimi yoki alohida to'lanadimi?</x:v>
      </x:c>
      <x:c r="F10" s="79" t="str">
        <x:v>Is the delivery price included in the specified amount or paid separately?</x:v>
      </x:c>
      <x:c r="G10" s="80" t="str"/>
      <x:c r="H10" s="80" t="str"/>
      <x:c r="I10" s="79" t="str">
        <x:v>Is the delivery price included in the specified amount or paid separately?</x:v>
      </x:c>
      <x:c r="J10" s="80" t="str"/>
      <x:c r="K10" s="80" t="str"/>
      <x:c r="L10" s="80" t="str"/>
      <x:c r="M10" s="81" t="str"/>
      <x:c r="N10" s="82" t="str">
        <x:f>IF(F10=I10,"是","否")</x:f>
        <x:v>是</x:v>
      </x:c>
      <x:c r="O10" s="82" t="str">
        <x:f>IF(AND(G10&lt;&gt;"",J10&lt;&gt;""),"是","否")</x:f>
        <x:v>否</x:v>
      </x:c>
    </x:row>
    <x:row r="11" ht="54" customHeight="1">
      <x:c r="A11" s="78" t="str">
        <x:v>case-2757964af0d9a1d5</x:v>
      </x:c>
      <x:c r="B11" s="78" t="str">
        <x:v>zh</x:v>
      </x:c>
      <x:c r="C11" s="78" t="str">
        <x:v>uz</x:v>
      </x:c>
      <x:c r="D11" s="78" t="str">
        <x:v>工作学习</x:v>
      </x:c>
      <x:c r="E11" s="79" t="str">
        <x:v>这次会议只讨论预算，不决定最终的采购名单。</x:v>
      </x:c>
      <x:c r="F11" s="79" t="str">
        <x:v>Uchrashuvda faqat byudjet muhokama qilindi, so'nggi xaridlar ro'yxati aniqlanmadi.</x:v>
      </x:c>
      <x:c r="G11" s="80" t="str"/>
      <x:c r="H11" s="80" t="str"/>
      <x:c r="I11" s="79" t="str">
        <x:v>Ushbu yig'ilishda faqat byudjet muhokama qilindi va yakuniy xarid ro'yxati hal qilinmadi.</x:v>
      </x:c>
      <x:c r="J11" s="80" t="str"/>
      <x:c r="K11" s="80" t="str"/>
      <x:c r="L11" s="80" t="str"/>
      <x:c r="M11" s="81" t="str"/>
      <x:c r="N11" s="82" t="str">
        <x:f>IF(F11=I11,"是","否")</x:f>
        <x:v>否</x:v>
      </x:c>
      <x:c r="O11" s="82" t="str">
        <x:f>IF(AND(G11&lt;&gt;"",J11&lt;&gt;""),"是","否")</x:f>
        <x:v>否</x:v>
      </x:c>
    </x:row>
    <x:row r="12" ht="54" customHeight="1">
      <x:c r="A12" s="78" t="str">
        <x:v>case-94ddf5692801912a</x:v>
      </x:c>
      <x:c r="B12" s="78" t="str">
        <x:v>uz</x:v>
      </x:c>
      <x:c r="C12" s="78" t="str">
        <x:v>en</x:v>
      </x:c>
      <x:c r="D12" s="78" t="str">
        <x:v>出行</x:v>
      </x:c>
      <x:c r="E12" s="79" t="str">
        <x:v>Men Toshkentga bormoqchiman, Toshkentdan ketmoqchi emasman. Iltimos, chiptani tekshiring.</x:v>
      </x:c>
      <x:c r="F12" s="79" t="str">
        <x:v>I want to go to Tashkent, I don't want to leave Tashkent. Please check the ticket.</x:v>
      </x:c>
      <x:c r="G12" s="80" t="str"/>
      <x:c r="H12" s="80" t="str"/>
      <x:c r="I12" s="79" t="str">
        <x:v>I want to go to Tashkent, I don't want to leave Tashkent. Please check the ticket.</x:v>
      </x:c>
      <x:c r="J12" s="80" t="str"/>
      <x:c r="K12" s="80" t="str"/>
      <x:c r="L12" s="80" t="str"/>
      <x:c r="M12" s="81" t="str"/>
      <x:c r="N12" s="82" t="str">
        <x:f>IF(F12=I12,"是","否")</x:f>
        <x:v>是</x:v>
      </x:c>
      <x:c r="O12" s="82" t="str">
        <x:f>IF(AND(G12&lt;&gt;"",J12&lt;&gt;""),"是","否")</x:f>
        <x:v>否</x:v>
      </x:c>
    </x:row>
    <x:row r="13" ht="54" customHeight="1">
      <x:c r="A13" s="78" t="str">
        <x:v>case-1b72e79a9ff40722</x:v>
      </x:c>
      <x:c r="B13" s="78" t="str">
        <x:v>en</x:v>
      </x:c>
      <x:c r="C13" s="78" t="str">
        <x:v>ru</x:v>
      </x:c>
      <x:c r="D13" s="78" t="str">
        <x:v>售后</x:v>
      </x:c>
      <x:c r="E13" s="79" t="str">
        <x:v>The refund covers the item but not the delivery charge. Is that what you intended?</x:v>
      </x:c>
      <x:c r="F13" s="79" t="str">
        <x:v>Возврат средств покрывает товар, но не стоимость доставки. Это то, что вы имели в виду?</x:v>
      </x:c>
      <x:c r="G13" s="80" t="str"/>
      <x:c r="H13" s="80" t="str"/>
      <x:c r="I13" s="79" t="str">
        <x:v>Возврат средств покрывает товар, но не расходы на доставку.</x:v>
      </x:c>
      <x:c r="J13" s="80" t="str"/>
      <x:c r="K13" s="80" t="str"/>
      <x:c r="L13" s="80" t="str"/>
      <x:c r="M13" s="81" t="str"/>
      <x:c r="N13" s="82" t="str">
        <x:f>IF(F13=I13,"是","否")</x:f>
        <x:v>否</x:v>
      </x:c>
      <x:c r="O13" s="82" t="str">
        <x:f>IF(AND(G13&lt;&gt;"",J13&lt;&gt;""),"是","否")</x:f>
        <x:v>否</x:v>
      </x:c>
    </x:row>
    <x:row r="14" ht="54" customHeight="1">
      <x:c r="A14" s="78" t="str">
        <x:v>case-419863f278dfb352</x:v>
      </x:c>
      <x:c r="B14" s="78" t="str">
        <x:v>en</x:v>
      </x:c>
      <x:c r="C14" s="78" t="str">
        <x:v>ru</x:v>
      </x:c>
      <x:c r="D14" s="78" t="str">
        <x:v>售后</x:v>
      </x:c>
      <x:c r="E14" s="79" t="str">
        <x:v>I received two left shoes instead of a matching pair.</x:v>
      </x:c>
      <x:c r="F14" s="79" t="str">
        <x:v>Я получил две левые туфли вместо совпадающей пары.</x:v>
      </x:c>
      <x:c r="G14" s="80" t="str"/>
      <x:c r="H14" s="80" t="str"/>
      <x:c r="I14" s="79" t="str">
        <x:v>Мне дали две левые туфли вместо пары.</x:v>
      </x:c>
      <x:c r="J14" s="80" t="str"/>
      <x:c r="K14" s="80" t="str"/>
      <x:c r="L14" s="80" t="str"/>
      <x:c r="M14" s="81" t="str"/>
      <x:c r="N14" s="82" t="str">
        <x:f>IF(F14=I14,"是","否")</x:f>
        <x:v>否</x:v>
      </x:c>
      <x:c r="O14" s="82" t="str">
        <x:f>IF(AND(G14&lt;&gt;"",J14&lt;&gt;""),"是","否")</x:f>
        <x:v>否</x:v>
      </x:c>
    </x:row>
    <x:row r="15" ht="54" customHeight="1">
      <x:c r="A15" s="78" t="str">
        <x:v>case-654b304b8c68550b</x:v>
      </x:c>
      <x:c r="B15" s="78" t="str">
        <x:v>zh</x:v>
      </x:c>
      <x:c r="C15" s="78" t="str">
        <x:v>en</x:v>
      </x:c>
      <x:c r="D15" s="78" t="str">
        <x:v>日常</x:v>
      </x:c>
      <x:c r="E15" s="79" t="str">
        <x:v>小林把钥匙交给了小周，请你联系小周取钥匙。</x:v>
      </x:c>
      <x:c r="F15" s="79" t="str">
        <x:v>Little Lin gave the keys to Little Week, so please contact Little Week for the keys.</x:v>
      </x:c>
      <x:c r="G15" s="80" t="str"/>
      <x:c r="H15" s="80" t="str"/>
      <x:c r="I15" s="79" t="str">
        <x:v>Little Lin gave the keys to Little Week, so please contact Little Week for the keys.</x:v>
      </x:c>
      <x:c r="J15" s="80" t="str"/>
      <x:c r="K15" s="80" t="str"/>
      <x:c r="L15" s="80" t="str"/>
      <x:c r="M15" s="81" t="str"/>
      <x:c r="N15" s="82" t="str">
        <x:f>IF(F15=I15,"是","否")</x:f>
        <x:v>是</x:v>
      </x:c>
      <x:c r="O15" s="82" t="str">
        <x:f>IF(AND(G15&lt;&gt;"",J15&lt;&gt;""),"是","否")</x:f>
        <x:v>否</x:v>
      </x:c>
    </x:row>
    <x:row r="16" ht="54" customHeight="1">
      <x:c r="A16" s="78" t="str">
        <x:v>case-1e9be06cdfc2ee70</x:v>
      </x:c>
      <x:c r="B16" s="78" t="str">
        <x:v>uz</x:v>
      </x:c>
      <x:c r="C16" s="78" t="str">
        <x:v>en</x:v>
      </x:c>
      <x:c r="D16" s="78" t="str">
        <x:v>售后</x:v>
      </x:c>
      <x:c r="E16" s="79" t="str">
        <x:v>Pul kartamdan yechildi, lekin buyurtma tasdiqlanmadi. Qayta to'lashim kerakmi?</x:v>
      </x:c>
      <x:c r="F16" s="79" t="str">
        <x:v>The money was withdrawn from my card, but the order was not confirmed. Do I have to repay?</x:v>
      </x:c>
      <x:c r="G16" s="80" t="str"/>
      <x:c r="H16" s="80" t="str"/>
      <x:c r="I16" s="79" t="str">
        <x:v>The money was withdrawn from my card, but the order was not confirmed. Do I have to repay?</x:v>
      </x:c>
      <x:c r="J16" s="80" t="str"/>
      <x:c r="K16" s="80" t="str"/>
      <x:c r="L16" s="80" t="str"/>
      <x:c r="M16" s="81" t="str"/>
      <x:c r="N16" s="82" t="str">
        <x:f>IF(F16=I16,"是","否")</x:f>
        <x:v>是</x:v>
      </x:c>
      <x:c r="O16" s="82" t="str">
        <x:f>IF(AND(G16&lt;&gt;"",J16&lt;&gt;""),"是","否")</x:f>
        <x:v>否</x:v>
      </x:c>
    </x:row>
    <x:row r="17" ht="54" customHeight="1">
      <x:c r="A17" s="78" t="str">
        <x:v>case-4d6371e3198138dc</x:v>
      </x:c>
      <x:c r="B17" s="78" t="str">
        <x:v>zh</x:v>
      </x:c>
      <x:c r="C17" s="78" t="str">
        <x:v>uz</x:v>
      </x:c>
      <x:c r="D17" s="78" t="str">
        <x:v>日常</x:v>
      </x:c>
      <x:c r="E17" s="79" t="str">
        <x:v>麻烦把音乐调小一点，孩子刚睡着。</x:v>
      </x:c>
      <x:c r="F17" s="79" t="str">
        <x:v>Muammo musiqani biroz kamaytirdi, bola uxlab qoldi.</x:v>
      </x:c>
      <x:c r="G17" s="80" t="str"/>
      <x:c r="H17" s="80" t="str"/>
      <x:c r="I17" s="79" t="str">
        <x:v>Muammo musiqani biroz kamaytirdi, bola esa uxlab qoldi.</x:v>
      </x:c>
      <x:c r="J17" s="80" t="str"/>
      <x:c r="K17" s="80" t="str"/>
      <x:c r="L17" s="80" t="str"/>
      <x:c r="M17" s="81" t="str"/>
      <x:c r="N17" s="82" t="str">
        <x:f>IF(F17=I17,"是","否")</x:f>
        <x:v>否</x:v>
      </x:c>
      <x:c r="O17" s="82" t="str">
        <x:f>IF(AND(G17&lt;&gt;"",J17&lt;&gt;""),"是","否")</x:f>
        <x:v>否</x:v>
      </x:c>
    </x:row>
    <x:row r="18" ht="54" customHeight="1">
      <x:c r="A18" s="78" t="str">
        <x:v>case-652a98d16bf7bc58</x:v>
      </x:c>
      <x:c r="B18" s="78" t="str">
        <x:v>ru</x:v>
      </x:c>
      <x:c r="C18" s="78" t="str">
        <x:v>zh</x:v>
      </x:c>
      <x:c r="D18" s="78" t="str">
        <x:v>工作学习</x:v>
      </x:c>
      <x:c r="E18" s="79" t="str">
        <x:v>Это предварительная оценка, а не окончательное решение. Не публикуйте её до согласования.</x:v>
      </x:c>
      <x:c r="F18" s="79" t="str">
        <x:v>这是一个初步评估,而不是最终的决定。</x:v>
      </x:c>
      <x:c r="G18" s="80" t="str"/>
      <x:c r="H18" s="80" t="str"/>
      <x:c r="I18" s="79" t="str">
        <x:v>呢个系初步评估,而唔系最后嘅决定。 只要达成一致,就唔好公布</x:v>
      </x:c>
      <x:c r="J18" s="80" t="str"/>
      <x:c r="K18" s="80" t="str"/>
      <x:c r="L18" s="80" t="str"/>
      <x:c r="M18" s="81" t="str"/>
      <x:c r="N18" s="82" t="str">
        <x:f>IF(F18=I18,"是","否")</x:f>
        <x:v>否</x:v>
      </x:c>
      <x:c r="O18" s="82" t="str">
        <x:f>IF(AND(G18&lt;&gt;"",J18&lt;&gt;""),"是","否")</x:f>
        <x:v>否</x:v>
      </x:c>
    </x:row>
    <x:row r="19" ht="54" customHeight="1">
      <x:c r="A19" s="78" t="str">
        <x:v>case-035feb2ccfbc7439</x:v>
      </x:c>
      <x:c r="B19" s="78" t="str">
        <x:v>en</x:v>
      </x:c>
      <x:c r="C19" s="78" t="str">
        <x:v>zh</x:v>
      </x:c>
      <x:c r="D19" s="78" t="str">
        <x:v>工作学习</x:v>
      </x:c>
      <x:c r="E19" s="79" t="str">
        <x:v>We need the draft by noon, but the final version can wait until Friday.</x:v>
      </x:c>
      <x:c r="F19" s="79" t="str">
        <x:v>我们需要在中午之前的草案,但最终版本可以等到周五。</x:v>
      </x:c>
      <x:c r="G19" s="80" t="str"/>
      <x:c r="H19" s="80" t="str"/>
      <x:c r="I19" s="79" t="str">
        <x:v>我们需要在中午之前的草案,但最终版本可以等到周五。</x:v>
      </x:c>
      <x:c r="J19" s="80" t="str"/>
      <x:c r="K19" s="80" t="str"/>
      <x:c r="L19" s="80" t="str"/>
      <x:c r="M19" s="81" t="str"/>
      <x:c r="N19" s="82" t="str">
        <x:f>IF(F19=I19,"是","否")</x:f>
        <x:v>是</x:v>
      </x:c>
      <x:c r="O19" s="82" t="str">
        <x:f>IF(AND(G19&lt;&gt;"",J19&lt;&gt;""),"是","否")</x:f>
        <x:v>否</x:v>
      </x:c>
    </x:row>
    <x:row r="20" ht="54" customHeight="1">
      <x:c r="A20" s="78" t="str">
        <x:v>case-ab95208917545dd6</x:v>
      </x:c>
      <x:c r="B20" s="78" t="str">
        <x:v>ru</x:v>
      </x:c>
      <x:c r="C20" s="78" t="str">
        <x:v>en</x:v>
      </x:c>
      <x:c r="D20" s="78" t="str">
        <x:v>售后</x:v>
      </x:c>
      <x:c r="E20" s="79" t="str">
        <x:v>Если замены нет в наличии, верните деньги, пожалуйста, но не отправляйте другую модель без моего согласия.</x:v>
      </x:c>
      <x:c r="F20" s="79" t="str">
        <x:v>If replacements are not available, please return the money, but do not send another model without my consent.</x:v>
      </x:c>
      <x:c r="G20" s="80" t="str"/>
      <x:c r="H20" s="80" t="str"/>
      <x:c r="I20" s="79" t="str">
        <x:v>If replacements are not available, please return the money, but do not send another model without my consent.</x:v>
      </x:c>
      <x:c r="J20" s="80" t="str"/>
      <x:c r="K20" s="80" t="str"/>
      <x:c r="L20" s="80" t="str"/>
      <x:c r="M20" s="81" t="str"/>
      <x:c r="N20" s="82" t="str">
        <x:f>IF(F20=I20,"是","否")</x:f>
        <x:v>是</x:v>
      </x:c>
      <x:c r="O20" s="82" t="str">
        <x:f>IF(AND(G20&lt;&gt;"",J20&lt;&gt;""),"是","否")</x:f>
        <x:v>否</x:v>
      </x:c>
    </x:row>
    <x:row r="21" ht="54" customHeight="1">
      <x:c r="A21" s="78" t="str">
        <x:v>case-ee5bdc2fd0497460</x:v>
      </x:c>
      <x:c r="B21" s="78" t="str">
        <x:v>en</x:v>
      </x:c>
      <x:c r="C21" s="78" t="str">
        <x:v>ru</x:v>
      </x:c>
      <x:c r="D21" s="78" t="str">
        <x:v>日常</x:v>
      </x:c>
      <x:c r="E21" s="79" t="str">
        <x:v>Could we talk somewhere quieter? I can hear you, but I can't make out every word.</x:v>
      </x:c>
      <x:c r="F21" s="79" t="str">
        <x:v>Можем ли мы поговорить где-нибудь тише? Я слышу тебя, но я не могу различить каждое слово.</x:v>
      </x:c>
      <x:c r="G21" s="80" t="str"/>
      <x:c r="H21" s="80" t="str"/>
      <x:c r="I21" s="79" t="str">
        <x:v>Не могли бы мы поговорить где-нибудь тише? Я тебя слышу, но не могу понять каждое слово.</x:v>
      </x:c>
      <x:c r="J21" s="80" t="str"/>
      <x:c r="K21" s="80" t="str"/>
      <x:c r="L21" s="80" t="str"/>
      <x:c r="M21" s="81" t="str"/>
      <x:c r="N21" s="82" t="str">
        <x:f>IF(F21=I21,"是","否")</x:f>
        <x:v>否</x:v>
      </x:c>
      <x:c r="O21" s="82" t="str">
        <x:f>IF(AND(G21&lt;&gt;"",J21&lt;&gt;""),"是","否")</x:f>
        <x:v>否</x:v>
      </x:c>
    </x:row>
    <x:row r="22" ht="54" customHeight="1">
      <x:c r="A22" s="78" t="str">
        <x:v>case-83fc05e23c49386b</x:v>
      </x:c>
      <x:c r="B22" s="78" t="str">
        <x:v>ru</x:v>
      </x:c>
      <x:c r="C22" s="78" t="str">
        <x:v>uz</x:v>
      </x:c>
      <x:c r="D22" s="78" t="str">
        <x:v>出行</x:v>
      </x:c>
      <x:c r="E22" s="79" t="str">
        <x:v>Можно ли выйти на следующей остановке и пересесть на тот же маршрут в обратную сторону?</x:v>
      </x:c>
      <x:c r="F22" s="79" t="str">
        <x:v>Keyingi to'xtash joyida turib, o'sha yo'nalishda orqa tomonga o'tirsa bo'ladimi?</x:v>
      </x:c>
      <x:c r="G22" s="80" t="str"/>
      <x:c r="H22" s="80" t="str"/>
      <x:c r="I22" s="79" t="str">
        <x:v>Keyingi to'xtash joyiga borib, o'sha yo'nalishda orqa tomonga o'tirsak bo'ladimi?</x:v>
      </x:c>
      <x:c r="J22" s="80" t="str"/>
      <x:c r="K22" s="80" t="str"/>
      <x:c r="L22" s="80" t="str"/>
      <x:c r="M22" s="81" t="str"/>
      <x:c r="N22" s="82" t="str">
        <x:f>IF(F22=I22,"是","否")</x:f>
        <x:v>否</x:v>
      </x:c>
      <x:c r="O22" s="82" t="str">
        <x:f>IF(AND(G22&lt;&gt;"",J22&lt;&gt;""),"是","否")</x:f>
        <x:v>否</x:v>
      </x:c>
    </x:row>
    <x:row r="23" ht="54" customHeight="1">
      <x:c r="A23" s="78" t="str">
        <x:v>case-0a910ca9a1e3f460</x:v>
      </x:c>
      <x:c r="B23" s="78" t="str">
        <x:v>en</x:v>
      </x:c>
      <x:c r="C23" s="78" t="str">
        <x:v>ru</x:v>
      </x:c>
      <x:c r="D23" s="78" t="str">
        <x:v>工作学习</x:v>
      </x:c>
      <x:c r="E23" s="79" t="str">
        <x:v>Don't replace the original file. Save your changes as a separate copy.</x:v>
      </x:c>
      <x:c r="F23" s="79" t="str">
        <x:v>Не заменяйте оригинальный файл. Сохранить свои изменения в виде отдельной копии.</x:v>
      </x:c>
      <x:c r="G23" s="80" t="str"/>
      <x:c r="H23" s="80" t="str"/>
      <x:c r="I23" s="79" t="str">
        <x:v>Не заменяйте оригинальный файл. Сохранить свои изменения в виде отдельной копии.</x:v>
      </x:c>
      <x:c r="J23" s="80" t="str"/>
      <x:c r="K23" s="80" t="str"/>
      <x:c r="L23" s="80" t="str"/>
      <x:c r="M23" s="81" t="str"/>
      <x:c r="N23" s="82" t="str">
        <x:f>IF(F23=I23,"是","否")</x:f>
        <x:v>是</x:v>
      </x:c>
      <x:c r="O23" s="82" t="str">
        <x:f>IF(AND(G23&lt;&gt;"",J23&lt;&gt;""),"是","否")</x:f>
        <x:v>否</x:v>
      </x:c>
    </x:row>
    <x:row r="24" ht="54" customHeight="1">
      <x:c r="A24" s="78" t="str">
        <x:v>case-3ec7cbf5bdae9428</x:v>
      </x:c>
      <x:c r="B24" s="78" t="str">
        <x:v>en</x:v>
      </x:c>
      <x:c r="C24" s="78" t="str">
        <x:v>uz</x:v>
      </x:c>
      <x:c r="D24" s="78" t="str">
        <x:v>售后</x:v>
      </x:c>
      <x:c r="E24" s="79" t="str">
        <x:v>The device turns on only while it's plugged in, even after charging overnight.</x:v>
      </x:c>
      <x:c r="F24" s="79" t="str">
        <x:v>Qurilma faqat u yoqilganda, hatto bir kechada zaryad qilgandan so'ng ham yoqadi.</x:v>
      </x:c>
      <x:c r="G24" s="80" t="str"/>
      <x:c r="H24" s="80" t="str"/>
      <x:c r="I24" s="79" t="str">
        <x:v>Uskuna faqat u yoqilganda, hatto bir kechada zaryad qilgandan so'ng ham yoqadi.</x:v>
      </x:c>
      <x:c r="J24" s="80" t="str"/>
      <x:c r="K24" s="80" t="str"/>
      <x:c r="L24" s="80" t="str"/>
      <x:c r="M24" s="81" t="str"/>
      <x:c r="N24" s="82" t="str">
        <x:f>IF(F24=I24,"是","否")</x:f>
        <x:v>否</x:v>
      </x:c>
      <x:c r="O24" s="82" t="str">
        <x:f>IF(AND(G24&lt;&gt;"",J24&lt;&gt;""),"是","否")</x:f>
        <x:v>否</x:v>
      </x:c>
    </x:row>
    <x:row r="25" ht="54" customHeight="1">
      <x:c r="A25" s="78" t="str">
        <x:v>case-2730318e1b7a988e</x:v>
      </x:c>
      <x:c r="B25" s="78" t="str">
        <x:v>ru</x:v>
      </x:c>
      <x:c r="C25" s="78" t="str">
        <x:v>uz</x:v>
      </x:c>
      <x:c r="D25" s="78" t="str">
        <x:v>售后</x:v>
      </x:c>
      <x:c r="E25" s="79" t="str">
        <x:v>Вместо упаковки из шести стаканов мне прислали только один. Проверьте, пожалуйста, заказ.</x:v>
      </x:c>
      <x:c r="F25" s="79" t="str">
        <x:v>Oltita shisha paketi o'rniga, menga faqat bittasi yuborildi. Iltimos, buyurtmani tekshirib ko'ring.</x:v>
      </x:c>
      <x:c r="G25" s="80" t="str"/>
      <x:c r="H25" s="80" t="str"/>
      <x:c r="I25" s="79" t="str">
        <x:v>Oltita shisha paketi o'rniga, menga faqat bittasi yuborildi. Iltimos, buyurtmani tekshiring.</x:v>
      </x:c>
      <x:c r="J25" s="80" t="str"/>
      <x:c r="K25" s="80" t="str"/>
      <x:c r="L25" s="80" t="str"/>
      <x:c r="M25" s="81" t="str"/>
      <x:c r="N25" s="82" t="str">
        <x:f>IF(F25=I25,"是","否")</x:f>
        <x:v>否</x:v>
      </x:c>
      <x:c r="O25" s="82" t="str">
        <x:f>IF(AND(G25&lt;&gt;"",J25&lt;&gt;""),"是","否")</x:f>
        <x:v>否</x:v>
      </x:c>
    </x:row>
    <x:row r="26" ht="54" customHeight="1">
      <x:c r="A26" s="78" t="str">
        <x:v>case-c22dd73317398689</x:v>
      </x:c>
      <x:c r="B26" s="78" t="str">
        <x:v>uz</x:v>
      </x:c>
      <x:c r="C26" s="78" t="str">
        <x:v>en</x:v>
      </x:c>
      <x:c r="D26" s="78" t="str">
        <x:v>工作学习</x:v>
      </x:c>
      <x:c r="E26" s="79" t="str">
        <x:v>Avval eski nusxani saqlab qo'ying, keyin yangi ma'lumotlarni kiriting.</x:v>
      </x:c>
      <x:c r="F26" s="79" t="str">
        <x:v>First save the old copy, then enter the new data.</x:v>
      </x:c>
      <x:c r="G26" s="80" t="str"/>
      <x:c r="H26" s="80" t="str"/>
      <x:c r="I26" s="79" t="str">
        <x:v>First save the old copy, then enter new information.</x:v>
      </x:c>
      <x:c r="J26" s="80" t="str"/>
      <x:c r="K26" s="80" t="str"/>
      <x:c r="L26" s="80" t="str"/>
      <x:c r="M26" s="81" t="str"/>
      <x:c r="N26" s="82" t="str">
        <x:f>IF(F26=I26,"是","否")</x:f>
        <x:v>否</x:v>
      </x:c>
      <x:c r="O26" s="82" t="str">
        <x:f>IF(AND(G26&lt;&gt;"",J26&lt;&gt;""),"是","否")</x:f>
        <x:v>否</x:v>
      </x:c>
    </x:row>
    <x:row r="27" ht="54" customHeight="1">
      <x:c r="A27" s="78" t="str">
        <x:v>case-a7363759afd873cb</x:v>
      </x:c>
      <x:c r="B27" s="78" t="str">
        <x:v>ru</x:v>
      </x:c>
      <x:c r="C27" s="78" t="str">
        <x:v>zh</x:v>
      </x:c>
      <x:c r="D27" s="78" t="str">
        <x:v>出行</x:v>
      </x:c>
      <x:c r="E27" s="79" t="str">
        <x:v>Пожалуйста, отвезите меня к старому вокзалу, не к новому терминалу за городом.</x:v>
      </x:c>
      <x:c r="F27" s="79" t="str">
        <x:v>请带我去旧车站,而不是在城外的新车站。</x:v>
      </x:c>
      <x:c r="G27" s="80" t="str"/>
      <x:c r="H27" s="80" t="str"/>
      <x:c r="I27" s="79" t="str">
        <x:v>请带我去旧车站,而非新车站</x:v>
      </x:c>
      <x:c r="J27" s="80" t="str"/>
      <x:c r="K27" s="80" t="str"/>
      <x:c r="L27" s="80" t="str"/>
      <x:c r="M27" s="81" t="str"/>
      <x:c r="N27" s="82" t="str">
        <x:f>IF(F27=I27,"是","否")</x:f>
        <x:v>否</x:v>
      </x:c>
      <x:c r="O27" s="82" t="str">
        <x:f>IF(AND(G27&lt;&gt;"",J27&lt;&gt;""),"是","否")</x:f>
        <x:v>否</x:v>
      </x:c>
    </x:row>
    <x:row r="28" ht="54" customHeight="1">
      <x:c r="A28" s="78" t="str">
        <x:v>case-03549205f9f84065</x:v>
      </x:c>
      <x:c r="B28" s="78" t="str">
        <x:v>en</x:v>
      </x:c>
      <x:c r="C28" s="78" t="str">
        <x:v>zh</x:v>
      </x:c>
      <x:c r="D28" s="78" t="str">
        <x:v>日常</x:v>
      </x:c>
      <x:c r="E28" s="79" t="str">
        <x:v>Maya said she would pick up Leo, not that Leo would pick her up.</x:v>
      </x:c>
      <x:c r="F28" s="79" t="str">
        <x:v>玛雅说她会去接雷奥,而不是雷奥会去接她。</x:v>
      </x:c>
      <x:c r="G28" s="80" t="str"/>
      <x:c r="H28" s="80" t="str"/>
      <x:c r="I28" s="79" t="str">
        <x:v>玛雅说她会去接雷奥,而不是雷奥会去接她。</x:v>
      </x:c>
      <x:c r="J28" s="80" t="str"/>
      <x:c r="K28" s="80" t="str"/>
      <x:c r="L28" s="80" t="str"/>
      <x:c r="M28" s="81" t="str"/>
      <x:c r="N28" s="82" t="str">
        <x:f>IF(F28=I28,"是","否")</x:f>
        <x:v>是</x:v>
      </x:c>
      <x:c r="O28" s="82" t="str">
        <x:f>IF(AND(G28&lt;&gt;"",J28&lt;&gt;""),"是","否")</x:f>
        <x:v>否</x:v>
      </x:c>
    </x:row>
    <x:row r="29" ht="54" customHeight="1">
      <x:c r="A29" s="78" t="str">
        <x:v>case-f2315c1ba08009c3</x:v>
      </x:c>
      <x:c r="B29" s="78" t="str">
        <x:v>uz</x:v>
      </x:c>
      <x:c r="C29" s="78" t="str">
        <x:v>en</x:v>
      </x:c>
      <x:c r="D29" s="78" t="str">
        <x:v>售后</x:v>
      </x:c>
      <x:c r="E29" s="79" t="str">
        <x:v>Mahsulotni qaytarishni emas, boshqa o'lchamdagisiga almashtirishni xohlayman.</x:v>
      </x:c>
      <x:c r="F29" s="79" t="str">
        <x:v>I want to replace the product with another size instead of returning it.</x:v>
      </x:c>
      <x:c r="G29" s="80" t="str"/>
      <x:c r="H29" s="80" t="str"/>
      <x:c r="I29" s="79" t="str">
        <x:v>I want to replace the product with another size, not return it.</x:v>
      </x:c>
      <x:c r="J29" s="80" t="str"/>
      <x:c r="K29" s="80" t="str"/>
      <x:c r="L29" s="80" t="str"/>
      <x:c r="M29" s="81" t="str"/>
      <x:c r="N29" s="82" t="str">
        <x:f>IF(F29=I29,"是","否")</x:f>
        <x:v>否</x:v>
      </x:c>
      <x:c r="O29" s="82" t="str">
        <x:f>IF(AND(G29&lt;&gt;"",J29&lt;&gt;""),"是","否")</x:f>
        <x:v>否</x:v>
      </x:c>
    </x:row>
    <x:row r="30" ht="54" customHeight="1">
      <x:c r="A30" s="78" t="str">
        <x:v>case-04ee74d20e59f977</x:v>
      </x:c>
      <x:c r="B30" s="78" t="str">
        <x:v>en</x:v>
      </x:c>
      <x:c r="C30" s="78" t="str">
        <x:v>uz</x:v>
      </x:c>
      <x:c r="D30" s="78" t="str">
        <x:v>出行</x:v>
      </x:c>
      <x:c r="E30" s="79" t="str">
        <x:v>Our flight arrives at 11:40 p.m., so we'll need to check in after midnight.</x:v>
      </x:c>
      <x:c r="F30" s="79" t="str">
        <x:v>Bizning samolyotimiz kechqurun 11:40 da keladi, shuning uchun tun yarmidan keyin kirishimiz kerak bo'ladi.</x:v>
      </x:c>
      <x:c r="G30" s="80" t="str"/>
      <x:c r="H30" s="80" t="str"/>
      <x:c r="I30" s="79" t="str">
        <x:v>Bizning samolyotimiz kechqurun 11:40 da keladi, shuning uchun biz yarim tundan keyin kirishimiz kerak bo'ladi.</x:v>
      </x:c>
      <x:c r="J30" s="80" t="str"/>
      <x:c r="K30" s="80" t="str"/>
      <x:c r="L30" s="80" t="str"/>
      <x:c r="M30" s="81" t="str"/>
      <x:c r="N30" s="82" t="str">
        <x:f>IF(F30=I30,"是","否")</x:f>
        <x:v>否</x:v>
      </x:c>
      <x:c r="O30" s="82" t="str">
        <x:f>IF(AND(G30&lt;&gt;"",J30&lt;&gt;""),"是","否")</x:f>
        <x:v>否</x:v>
      </x:c>
    </x:row>
    <x:row r="31" ht="54" customHeight="1">
      <x:c r="A31" s="78" t="str">
        <x:v>case-cdc94f16945daca4</x:v>
      </x:c>
      <x:c r="B31" s="78" t="str">
        <x:v>ru</x:v>
      </x:c>
      <x:c r="C31" s="78" t="str">
        <x:v>uz</x:v>
      </x:c>
      <x:c r="D31" s="78" t="str">
        <x:v>日常</x:v>
      </x:c>
      <x:c r="E31" s="79" t="str">
        <x:v>Я не расслышал последнее слово. Не могли бы вы повторить только конец фразы?</x:v>
      </x:c>
      <x:c r="F31" s="79" t="str">
        <x:v>So'nggi so'zni eshitmadim. Siz so'zning oxirini takrorlay olasizmi?</x:v>
      </x:c>
      <x:c r="G31" s="80" t="str"/>
      <x:c r="H31" s="80" t="str"/>
      <x:c r="I31" s="79" t="str">
        <x:v>Men so'nggi so'zni eshitmadim. Siz so'zning oxirini takrorlaysizmi?</x:v>
      </x:c>
      <x:c r="J31" s="80" t="str"/>
      <x:c r="K31" s="80" t="str"/>
      <x:c r="L31" s="80" t="str"/>
      <x:c r="M31" s="81" t="str"/>
      <x:c r="N31" s="82" t="str">
        <x:f>IF(F31=I31,"是","否")</x:f>
        <x:v>否</x:v>
      </x:c>
      <x:c r="O31" s="82" t="str">
        <x:f>IF(AND(G31&lt;&gt;"",J31&lt;&gt;""),"是","否")</x:f>
        <x:v>否</x:v>
      </x:c>
    </x:row>
    <x:row r="32" ht="54" customHeight="1">
      <x:c r="A32" s="78" t="str">
        <x:v>case-295f478bd26d899a</x:v>
      </x:c>
      <x:c r="B32" s="78" t="str">
        <x:v>en</x:v>
      </x:c>
      <x:c r="C32" s="78" t="str">
        <x:v>uz</x:v>
      </x:c>
      <x:c r="D32" s="78" t="str">
        <x:v>工作学习</x:v>
      </x:c>
      <x:c r="E32" s="79" t="str">
        <x:v>Only students who missed the first session need to complete this form.</x:v>
      </x:c>
      <x:c r="F32" s="79" t="str">
        <x:v>Faqat birinchi seansni o'tkazib yuborgan talabalar ushbu shaklni to'ldirishlari kerak.</x:v>
      </x:c>
      <x:c r="G32" s="80" t="str"/>
      <x:c r="H32" s="80" t="str"/>
      <x:c r="I32" s="79" t="str">
        <x:v>Faqat birinchi seansni o'tkazib yuborgan talabalar ushbu shaklni to'ldirishlari kerak.</x:v>
      </x:c>
      <x:c r="J32" s="80" t="str"/>
      <x:c r="K32" s="80" t="str"/>
      <x:c r="L32" s="80" t="str"/>
      <x:c r="M32" s="81" t="str"/>
      <x:c r="N32" s="82" t="str">
        <x:f>IF(F32=I32,"是","否")</x:f>
        <x:v>是</x:v>
      </x:c>
      <x:c r="O32" s="82" t="str">
        <x:f>IF(AND(G32&lt;&gt;"",J32&lt;&gt;""),"是","否")</x:f>
        <x:v>否</x:v>
      </x:c>
    </x:row>
    <x:row r="33" ht="54" customHeight="1">
      <x:c r="A33" s="78" t="str">
        <x:v>case-fb79f39e584b0495</x:v>
      </x:c>
      <x:c r="B33" s="78" t="str">
        <x:v>ru</x:v>
      </x:c>
      <x:c r="C33" s="78" t="str">
        <x:v>en</x:v>
      </x:c>
      <x:c r="D33" s="78" t="str">
        <x:v>工作学习</x:v>
      </x:c>
      <x:c r="E33" s="79" t="str">
        <x:v>Проверьте, пожалуйста, итоговую сумму: скидка уже учтена, а доставка ещё нет.</x:v>
      </x:c>
      <x:c r="F33" s="79" t="str">
        <x:v>Please check the final amount: the discount has already been taken into account and the delivery has not yet been made.</x:v>
      </x:c>
      <x:c r="G33" s="80" t="str"/>
      <x:c r="H33" s="80" t="str"/>
      <x:c r="I33" s="79" t="str">
        <x:v>Please check the final amount: the discount is already taken into account and the delivery has not yet arrived.</x:v>
      </x:c>
      <x:c r="J33" s="80" t="str"/>
      <x:c r="K33" s="80" t="str"/>
      <x:c r="L33" s="80" t="str"/>
      <x:c r="M33" s="81" t="str"/>
      <x:c r="N33" s="82" t="str">
        <x:f>IF(F33=I33,"是","否")</x:f>
        <x:v>否</x:v>
      </x:c>
      <x:c r="O33" s="82" t="str">
        <x:f>IF(AND(G33&lt;&gt;"",J33&lt;&gt;""),"是","否")</x:f>
        <x:v>否</x:v>
      </x:c>
    </x:row>
    <x:row r="34" ht="54" customHeight="1">
      <x:c r="A34" s="78" t="str">
        <x:v>case-18995103b609538b</x:v>
      </x:c>
      <x:c r="B34" s="78" t="str">
        <x:v>ru</x:v>
      </x:c>
      <x:c r="C34" s="78" t="str">
        <x:v>en</x:v>
      </x:c>
      <x:c r="D34" s="78" t="str">
        <x:v>售后</x:v>
      </x:c>
      <x:c r="E34" s="79" t="str">
        <x:v>Вместо упаковки из шести стаканов мне прислали только один. Проверьте, пожалуйста, заказ.</x:v>
      </x:c>
      <x:c r="F34" s="79" t="str">
        <x:v>Instead of a pack of six glasses, only one was sent to me. Please check the order.</x:v>
      </x:c>
      <x:c r="G34" s="80" t="str"/>
      <x:c r="H34" s="80" t="str"/>
      <x:c r="I34" s="79" t="str">
        <x:v>Instead of a six-glass package, only one was sent to me. Please check the order.</x:v>
      </x:c>
      <x:c r="J34" s="80" t="str"/>
      <x:c r="K34" s="80" t="str"/>
      <x:c r="L34" s="80" t="str"/>
      <x:c r="M34" s="81" t="str"/>
      <x:c r="N34" s="82" t="str">
        <x:f>IF(F34=I34,"是","否")</x:f>
        <x:v>否</x:v>
      </x:c>
      <x:c r="O34" s="82" t="str">
        <x:f>IF(AND(G34&lt;&gt;"",J34&lt;&gt;""),"是","否")</x:f>
        <x:v>否</x:v>
      </x:c>
    </x:row>
    <x:row r="35" ht="54" customHeight="1">
      <x:c r="A35" s="78" t="str">
        <x:v>case-11eee64ec97f190f</x:v>
      </x:c>
      <x:c r="B35" s="78" t="str">
        <x:v>uz</x:v>
      </x:c>
      <x:c r="C35" s="78" t="str">
        <x:v>zh</x:v>
      </x:c>
      <x:c r="D35" s="78" t="str">
        <x:v>日常</x:v>
      </x:c>
      <x:c r="E35" s="79" t="str">
        <x:v>Men sizga qo'ng'iroq qilganimda yo'lda edim, shuning uchun gapim yaxshi eshitilmagan bo'lishi mumkin.</x:v>
      </x:c>
      <x:c r="F35" s="79" t="str">
        <x:v>当我打电话给你时,我在路上,所以我可能听不到。</x:v>
      </x:c>
      <x:c r="G35" s="80" t="str"/>
      <x:c r="H35" s="80" t="str"/>
      <x:c r="I35" s="79" t="str">
        <x:v>当我打电话给你时,我在路上,所以我可能没有很好地听到.</x:v>
      </x:c>
      <x:c r="J35" s="80" t="str"/>
      <x:c r="K35" s="80" t="str"/>
      <x:c r="L35" s="80" t="str"/>
      <x:c r="M35" s="81" t="str"/>
      <x:c r="N35" s="82" t="str">
        <x:f>IF(F35=I35,"是","否")</x:f>
        <x:v>否</x:v>
      </x:c>
      <x:c r="O35" s="82" t="str">
        <x:f>IF(AND(G35&lt;&gt;"",J35&lt;&gt;""),"是","否")</x:f>
        <x:v>否</x:v>
      </x:c>
    </x:row>
    <x:row r="36" ht="54" customHeight="1">
      <x:c r="A36" s="78" t="str">
        <x:v>case-cd1d5ebf0a095c58</x:v>
      </x:c>
      <x:c r="B36" s="78" t="str">
        <x:v>en</x:v>
      </x:c>
      <x:c r="C36" s="78" t="str">
        <x:v>uz</x:v>
      </x:c>
      <x:c r="D36" s="78" t="str">
        <x:v>售后</x:v>
      </x:c>
      <x:c r="E36" s="79" t="str">
        <x:v>I don't want to return the whole set. Can you replace just the damaged lid?</x:v>
      </x:c>
      <x:c r="F36" s="79" t="str">
        <x:v>Men butun setni qaytarishni xohlamayman. Siz faqat shikastlangan qopqoqni almashtirishingiz mumkinmi?</x:v>
      </x:c>
      <x:c r="G36" s="80" t="str"/>
      <x:c r="H36" s="80" t="str"/>
      <x:c r="I36" s="79" t="str">
        <x:v>Men butun to'plamni qaytarib berishni istamayman. Siz faqat shikastlangan qopqoqni almashtirishingiz mumkinmi?</x:v>
      </x:c>
      <x:c r="J36" s="80" t="str"/>
      <x:c r="K36" s="80" t="str"/>
      <x:c r="L36" s="80" t="str"/>
      <x:c r="M36" s="81" t="str"/>
      <x:c r="N36" s="82" t="str">
        <x:f>IF(F36=I36,"是","否")</x:f>
        <x:v>否</x:v>
      </x:c>
      <x:c r="O36" s="82" t="str">
        <x:f>IF(AND(G36&lt;&gt;"",J36&lt;&gt;""),"是","否")</x:f>
        <x:v>否</x:v>
      </x:c>
    </x:row>
    <x:row r="37" ht="54" customHeight="1">
      <x:c r="A37" s="78" t="str">
        <x:v>case-ce9d52fd380f08b0</x:v>
      </x:c>
      <x:c r="B37" s="78" t="str">
        <x:v>ru</x:v>
      </x:c>
      <x:c r="C37" s="78" t="str">
        <x:v>uz</x:v>
      </x:c>
      <x:c r="D37" s="78" t="str">
        <x:v>出行</x:v>
      </x:c>
      <x:c r="E37" s="79" t="str">
        <x:v>Мы забронировали номер на две ночи, с пятницы по воскресенье. Завтрак включён?</x:v>
      </x:c>
      <x:c r="F37" s="79" t="str">
        <x:v>Biz shanbadan yakshanbagacha bo'lgan ikki kechalik xonaga buyurtma qildik. Nonushta yoqilganmi?</x:v>
      </x:c>
      <x:c r="G37" s="80" t="str"/>
      <x:c r="H37" s="80" t="str"/>
      <x:c r="I37" s="79" t="str">
        <x:v>Biz shanba kuni yakshanba kuni ikki kechalik xonaga turardik. Ovqat yemagi yoqilganmi?</x:v>
      </x:c>
      <x:c r="J37" s="80" t="str"/>
      <x:c r="K37" s="80" t="str"/>
      <x:c r="L37" s="80" t="str"/>
      <x:c r="M37" s="81" t="str"/>
      <x:c r="N37" s="82" t="str">
        <x:f>IF(F37=I37,"是","否")</x:f>
        <x:v>否</x:v>
      </x:c>
      <x:c r="O37" s="82" t="str">
        <x:f>IF(AND(G37&lt;&gt;"",J37&lt;&gt;""),"是","否")</x:f>
        <x:v>否</x:v>
      </x:c>
    </x:row>
    <x:row r="38" ht="54" customHeight="1">
      <x:c r="A38" s="78" t="str">
        <x:v>case-afbea41179f3e913</x:v>
      </x:c>
      <x:c r="B38" s="78" t="str">
        <x:v>ru</x:v>
      </x:c>
      <x:c r="C38" s="78" t="str">
        <x:v>zh</x:v>
      </x:c>
      <x:c r="D38" s="78" t="str">
        <x:v>售后</x:v>
      </x:c>
      <x:c r="E38" s="79" t="str">
        <x:v>На сайте указана длина 1,5 метра, а на упаковке — 150 миллиметров. Какой размер верный?</x:v>
      </x:c>
      <x:c r="F38" s="79" t="str">
        <x:v>网站上显示长度为1.5米,包装上显示长度为150毫米。 哪个尺寸是正确的?</x:v>
      </x:c>
      <x:c r="G38" s="80" t="str"/>
      <x:c r="H38" s="80" t="str"/>
      <x:c r="I38" s="79" t="str">
        <x:v>网站上显示长度为1.5米,包装上显示长度为150毫米。 哪个尺寸是正确的?</x:v>
      </x:c>
      <x:c r="J38" s="80" t="str"/>
      <x:c r="K38" s="80" t="str"/>
      <x:c r="L38" s="80" t="str"/>
      <x:c r="M38" s="81" t="str"/>
      <x:c r="N38" s="82" t="str">
        <x:f>IF(F38=I38,"是","否")</x:f>
        <x:v>是</x:v>
      </x:c>
      <x:c r="O38" s="82" t="str">
        <x:f>IF(AND(G38&lt;&gt;"",J38&lt;&gt;""),"是","否")</x:f>
        <x:v>否</x:v>
      </x:c>
    </x:row>
    <x:row r="39" ht="54" customHeight="1">
      <x:c r="A39" s="78" t="str">
        <x:v>case-4fcae85a62e8cf7b</x:v>
      </x:c>
      <x:c r="B39" s="78" t="str">
        <x:v>ru</x:v>
      </x:c>
      <x:c r="C39" s="78" t="str">
        <x:v>zh</x:v>
      </x:c>
      <x:c r="D39" s="78" t="str">
        <x:v>出行</x:v>
      </x:c>
      <x:c r="E39" s="79" t="str">
        <x:v>У меня только ручная кладь. Нужно ли всё равно стоять в очереди на сдачу багажа?</x:v>
      </x:c>
      <x:c r="F39" s="79" t="str">
        <x:v>我只有一具手提包装。我还是要排队送行李?</x:v>
      </x:c>
      <x:c r="G39" s="80" t="str"/>
      <x:c r="H39" s="80" t="str"/>
      <x:c r="I39" s="79" t="str">
        <x:v>我只有一张手提包装 我仲要排队收货吗?</x:v>
      </x:c>
      <x:c r="J39" s="80" t="str"/>
      <x:c r="K39" s="80" t="str"/>
      <x:c r="L39" s="80" t="str"/>
      <x:c r="M39" s="81" t="str"/>
      <x:c r="N39" s="82" t="str">
        <x:f>IF(F39=I39,"是","否")</x:f>
        <x:v>否</x:v>
      </x:c>
      <x:c r="O39" s="82" t="str">
        <x:f>IF(AND(G39&lt;&gt;"",J39&lt;&gt;""),"是","否")</x:f>
        <x:v>否</x:v>
      </x:c>
    </x:row>
    <x:row r="40" ht="54" customHeight="1">
      <x:c r="A40" s="78" t="str">
        <x:v>case-acb9ecf0477d953b</x:v>
      </x:c>
      <x:c r="B40" s="78" t="str">
        <x:v>ru</x:v>
      </x:c>
      <x:c r="C40" s="78" t="str">
        <x:v>en</x:v>
      </x:c>
      <x:c r="D40" s="78" t="str">
        <x:v>日常</x:v>
      </x:c>
      <x:c r="E40" s="79" t="str">
        <x:v>Я смогу прийти не раньше семи. Если это поздно, давайте встретимся завтра.</x:v>
      </x:c>
      <x:c r="F40" s="79" t="str">
        <x:v>I can come no earlier than seven. If it's late, let's meet tomorrow.</x:v>
      </x:c>
      <x:c r="G40" s="80" t="str"/>
      <x:c r="H40" s="80" t="str"/>
      <x:c r="I40" s="79" t="str">
        <x:v>I can come no earlier than seven. If it's late, let's meet tomorrow.</x:v>
      </x:c>
      <x:c r="J40" s="80" t="str"/>
      <x:c r="K40" s="80" t="str"/>
      <x:c r="L40" s="80" t="str"/>
      <x:c r="M40" s="81" t="str"/>
      <x:c r="N40" s="82" t="str">
        <x:f>IF(F40=I40,"是","否")</x:f>
        <x:v>是</x:v>
      </x:c>
      <x:c r="O40" s="82" t="str">
        <x:f>IF(AND(G40&lt;&gt;"",J40&lt;&gt;""),"是","否")</x:f>
        <x:v>否</x:v>
      </x:c>
    </x:row>
    <x:row r="41" ht="54" customHeight="1">
      <x:c r="A41" s="78" t="str">
        <x:v>case-35596faee0076537</x:v>
      </x:c>
      <x:c r="B41" s="78" t="str">
        <x:v>uz</x:v>
      </x:c>
      <x:c r="C41" s="78" t="str">
        <x:v>ru</x:v>
      </x:c>
      <x:c r="D41" s="78" t="str">
        <x:v>售后</x:v>
      </x:c>
      <x:c r="E41" s="79" t="str">
        <x:v>Pul kartamdan yechildi, lekin buyurtma tasdiqlanmadi. Qayta to'lashim kerakmi?</x:v>
      </x:c>
      <x:c r="F41" s="79" t="str">
        <x:v>Деньги были сняты с моей карты, но заказ не был подтвержден. Должен ли я вернуть деньги?</x:v>
      </x:c>
      <x:c r="G41" s="80" t="str"/>
      <x:c r="H41" s="80" t="str"/>
      <x:c r="I41" s="79" t="str">
        <x:v>Деньги были сняты с моей карты, но заказ не был подтвержден. Должен ли я вернуть деньги?</x:v>
      </x:c>
      <x:c r="J41" s="80" t="str"/>
      <x:c r="K41" s="80" t="str"/>
      <x:c r="L41" s="80" t="str"/>
      <x:c r="M41" s="81" t="str"/>
      <x:c r="N41" s="82" t="str">
        <x:f>IF(F41=I41,"是","否")</x:f>
        <x:v>是</x:v>
      </x:c>
      <x:c r="O41" s="82" t="str">
        <x:f>IF(AND(G41&lt;&gt;"",J41&lt;&gt;""),"是","否")</x:f>
        <x:v>否</x:v>
      </x:c>
    </x:row>
    <x:row r="42" ht="54" customHeight="1">
      <x:c r="A42" s="78" t="str">
        <x:v>case-5df8cccc1794f712</x:v>
      </x:c>
      <x:c r="B42" s="78" t="str">
        <x:v>uz</x:v>
      </x:c>
      <x:c r="C42" s="78" t="str">
        <x:v>ru</x:v>
      </x:c>
      <x:c r="D42" s="78" t="str">
        <x:v>日常</x:v>
      </x:c>
      <x:c r="E42" s="79" t="str">
        <x:v>Bugun uchrasha olmayman, lekin ertaga tushlikdan keyin vaqtim bor.</x:v>
      </x:c>
      <x:c r="F42" s="79" t="str">
        <x:v>Я не могу встретиться сегодня, но у меня есть время завтра после обеда.</x:v>
      </x:c>
      <x:c r="G42" s="80" t="str"/>
      <x:c r="H42" s="80" t="str"/>
      <x:c r="I42" s="79" t="str">
        <x:v>Я не могу встретиться сегодня, но у меня есть время завтра после обеда.</x:v>
      </x:c>
      <x:c r="J42" s="80" t="str"/>
      <x:c r="K42" s="80" t="str"/>
      <x:c r="L42" s="80" t="str"/>
      <x:c r="M42" s="81" t="str"/>
      <x:c r="N42" s="82" t="str">
        <x:f>IF(F42=I42,"是","否")</x:f>
        <x:v>是</x:v>
      </x:c>
      <x:c r="O42" s="82" t="str">
        <x:f>IF(AND(G42&lt;&gt;"",J42&lt;&gt;""),"是","否")</x:f>
        <x:v>否</x:v>
      </x:c>
    </x:row>
    <x:row r="43" ht="54" customHeight="1">
      <x:c r="A43" s="78" t="str">
        <x:v>case-449002e035147ac3</x:v>
      </x:c>
      <x:c r="B43" s="78" t="str">
        <x:v>ru</x:v>
      </x:c>
      <x:c r="C43" s="78" t="str">
        <x:v>en</x:v>
      </x:c>
      <x:c r="D43" s="78" t="str">
        <x:v>工作学习</x:v>
      </x:c>
      <x:c r="E43" s="79" t="str">
        <x:v>Отправьте документ всем участникам, кроме тех, кто уже получил его вчера.</x:v>
      </x:c>
      <x:c r="F43" s="79" t="str">
        <x:v>Send the document to all participants except those who already received it yesterday.</x:v>
      </x:c>
      <x:c r="G43" s="80" t="str"/>
      <x:c r="H43" s="80" t="str"/>
      <x:c r="I43" s="79" t="str">
        <x:v>Send the document to all participants, except those who already received it yesterday.</x:v>
      </x:c>
      <x:c r="J43" s="80" t="str"/>
      <x:c r="K43" s="80" t="str"/>
      <x:c r="L43" s="80" t="str"/>
      <x:c r="M43" s="81" t="str"/>
      <x:c r="N43" s="82" t="str">
        <x:f>IF(F43=I43,"是","否")</x:f>
        <x:v>否</x:v>
      </x:c>
      <x:c r="O43" s="82" t="str">
        <x:f>IF(AND(G43&lt;&gt;"",J43&lt;&gt;""),"是","否")</x:f>
        <x:v>否</x:v>
      </x:c>
    </x:row>
    <x:row r="44" ht="54" customHeight="1">
      <x:c r="A44" s="78" t="str">
        <x:v>case-7ae04cbbf9cfc092</x:v>
      </x:c>
      <x:c r="B44" s="78" t="str">
        <x:v>zh</x:v>
      </x:c>
      <x:c r="C44" s="78" t="str">
        <x:v>en</x:v>
      </x:c>
      <x:c r="D44" s="78" t="str">
        <x:v>工作学习</x:v>
      </x:c>
      <x:c r="E44" s="79" t="str">
        <x:v>这次会议只讨论预算，不决定最终的采购名单。</x:v>
      </x:c>
      <x:c r="F44" s="79" t="str">
        <x:v>The meeting discussed only the budget and did not decide on the final list of purchases.</x:v>
      </x:c>
      <x:c r="G44" s="80" t="str"/>
      <x:c r="H44" s="80" t="str"/>
      <x:c r="I44" s="79" t="str">
        <x:v>The meeting only discussed the budget and did not decide on the final list of purchases.</x:v>
      </x:c>
      <x:c r="J44" s="80" t="str"/>
      <x:c r="K44" s="80" t="str"/>
      <x:c r="L44" s="80" t="str"/>
      <x:c r="M44" s="81" t="str"/>
      <x:c r="N44" s="82" t="str">
        <x:f>IF(F44=I44,"是","否")</x:f>
        <x:v>否</x:v>
      </x:c>
      <x:c r="O44" s="82" t="str">
        <x:f>IF(AND(G44&lt;&gt;"",J44&lt;&gt;""),"是","否")</x:f>
        <x:v>否</x:v>
      </x:c>
    </x:row>
    <x:row r="45" ht="54" customHeight="1">
      <x:c r="A45" s="78" t="str">
        <x:v>case-8be1c5faf2f34f7d</x:v>
      </x:c>
      <x:c r="B45" s="78" t="str">
        <x:v>ru</x:v>
      </x:c>
      <x:c r="C45" s="78" t="str">
        <x:v>uz</x:v>
      </x:c>
      <x:c r="D45" s="78" t="str">
        <x:v>日常</x:v>
      </x:c>
      <x:c r="E45" s="79" t="str">
        <x:v>Анна передала документы Борису, а не мне. Уточните у него, где они сейчас.</x:v>
      </x:c>
      <x:c r="F45" s="79" t="str">
        <x:v>Anna hujjatlarni Borisga berdi, menga emas.</x:v>
      </x:c>
      <x:c r="G45" s="80" t="str"/>
      <x:c r="H45" s="80" t="str"/>
      <x:c r="I45" s="79" t="str">
        <x:v>Anna hujjatlarni Borisga berdi, menga emas.</x:v>
      </x:c>
      <x:c r="J45" s="80" t="str"/>
      <x:c r="K45" s="80" t="str"/>
      <x:c r="L45" s="80" t="str"/>
      <x:c r="M45" s="81" t="str"/>
      <x:c r="N45" s="82" t="str">
        <x:f>IF(F45=I45,"是","否")</x:f>
        <x:v>是</x:v>
      </x:c>
      <x:c r="O45" s="82" t="str">
        <x:f>IF(AND(G45&lt;&gt;"",J45&lt;&gt;""),"是","否")</x:f>
        <x:v>否</x:v>
      </x:c>
    </x:row>
    <x:row r="46" ht="54" customHeight="1">
      <x:c r="A46" s="78" t="str">
        <x:v>case-441c058d080b6134</x:v>
      </x:c>
      <x:c r="B46" s="78" t="str">
        <x:v>uz</x:v>
      </x:c>
      <x:c r="C46" s="78" t="str">
        <x:v>zh</x:v>
      </x:c>
      <x:c r="D46" s="78" t="str">
        <x:v>工作学习</x:v>
      </x:c>
      <x:c r="E46" s="79" t="str">
        <x:v>Hisobotni bugun yuborish shart emas, lekin ertaga soat to'qqizgacha tayyor bo'lishi kerak.</x:v>
      </x:c>
      <x:c r="F46" s="79" t="str">
        <x:v>今天不必发送报告,但明天九点之前应该准备好。</x:v>
      </x:c>
      <x:c r="G46" s="80" t="str"/>
      <x:c r="H46" s="80" t="str"/>
      <x:c r="I46" s="79" t="str">
        <x:v>报告不必今天发送,但必须在明天九点之前做好准备.</x:v>
      </x:c>
      <x:c r="J46" s="80" t="str"/>
      <x:c r="K46" s="80" t="str"/>
      <x:c r="L46" s="80" t="str"/>
      <x:c r="M46" s="81" t="str"/>
      <x:c r="N46" s="82" t="str">
        <x:f>IF(F46=I46,"是","否")</x:f>
        <x:v>否</x:v>
      </x:c>
      <x:c r="O46" s="82" t="str">
        <x:f>IF(AND(G46&lt;&gt;"",J46&lt;&gt;""),"是","否")</x:f>
        <x:v>否</x:v>
      </x:c>
    </x:row>
    <x:row r="47" ht="54" customHeight="1">
      <x:c r="A47" s="78" t="str">
        <x:v>case-36a35a7b085181b7</x:v>
      </x:c>
      <x:c r="B47" s="78" t="str">
        <x:v>uz</x:v>
      </x:c>
      <x:c r="C47" s="78" t="str">
        <x:v>ru</x:v>
      </x:c>
      <x:c r="D47" s="78" t="str">
        <x:v>日常</x:v>
      </x:c>
      <x:c r="E47" s="79" t="str">
        <x:v>Men sizga qo'ng'iroq qilganimda yo'lda edim, shuning uchun gapim yaxshi eshitilmagan bo'lishi mumkin.</x:v>
      </x:c>
      <x:c r="F47" s="79" t="str">
        <x:v>Когда я позвонил вам, я был на пути, так что, возможно, меня плохо услышали.</x:v>
      </x:c>
      <x:c r="G47" s="80" t="str"/>
      <x:c r="H47" s="80" t="str"/>
      <x:c r="I47" s="79" t="str">
        <x:v>Я был на дороге, когда позвонил тебе, так что, возможно, меня плохо услышали.</x:v>
      </x:c>
      <x:c r="J47" s="80" t="str"/>
      <x:c r="K47" s="80" t="str"/>
      <x:c r="L47" s="80" t="str"/>
      <x:c r="M47" s="81" t="str"/>
      <x:c r="N47" s="82" t="str">
        <x:f>IF(F47=I47,"是","否")</x:f>
        <x:v>否</x:v>
      </x:c>
      <x:c r="O47" s="82" t="str">
        <x:f>IF(AND(G47&lt;&gt;"",J47&lt;&gt;""),"是","否")</x:f>
        <x:v>否</x:v>
      </x:c>
    </x:row>
    <x:row r="48" ht="54" customHeight="1">
      <x:c r="A48" s="78" t="str">
        <x:v>case-ab51483d48db9794</x:v>
      </x:c>
      <x:c r="B48" s="78" t="str">
        <x:v>uz</x:v>
      </x:c>
      <x:c r="C48" s="78" t="str">
        <x:v>en</x:v>
      </x:c>
      <x:c r="D48" s="78" t="str">
        <x:v>出行</x:v>
      </x:c>
      <x:c r="E48" s="79" t="str">
        <x:v>Haydovchiga ayting, bizni bozorning oldida emas, orqa tomonida kutib tursin.</x:v>
      </x:c>
      <x:c r="F48" s="79" t="str">
        <x:v>Tell the driver to wait for us at the back, not in front of the market.</x:v>
      </x:c>
      <x:c r="G48" s="80" t="str"/>
      <x:c r="H48" s="80" t="str"/>
      <x:c r="I48" s="79" t="str">
        <x:v>Tell the driver to wait for us at the back, not in front of the market.</x:v>
      </x:c>
      <x:c r="J48" s="80" t="str"/>
      <x:c r="K48" s="80" t="str"/>
      <x:c r="L48" s="80" t="str"/>
      <x:c r="M48" s="81" t="str"/>
      <x:c r="N48" s="82" t="str">
        <x:f>IF(F48=I48,"是","否")</x:f>
        <x:v>是</x:v>
      </x:c>
      <x:c r="O48" s="82" t="str">
        <x:f>IF(AND(G48&lt;&gt;"",J48&lt;&gt;""),"是","否")</x:f>
        <x:v>否</x:v>
      </x:c>
    </x:row>
    <x:row r="49" ht="54" customHeight="1">
      <x:c r="A49" s="78" t="str">
        <x:v>case-d9374b193b2dbb5d</x:v>
      </x:c>
      <x:c r="B49" s="78" t="str">
        <x:v>ru</x:v>
      </x:c>
      <x:c r="C49" s="78" t="str">
        <x:v>en</x:v>
      </x:c>
      <x:c r="D49" s="78" t="str">
        <x:v>售后</x:v>
      </x:c>
      <x:c r="E49" s="79" t="str">
        <x:v>На сайте указана длина 1,5 метра, а на упаковке — 150 миллиметров. Какой размер верный?</x:v>
      </x:c>
      <x:c r="F49" s="79" t="str">
        <x:v>The website says the length is 1.5 meters, and the packaging says 150 millimeters. What size is correct?</x:v>
      </x:c>
      <x:c r="G49" s="80" t="str"/>
      <x:c r="H49" s="80" t="str"/>
      <x:c r="I49" s="79" t="str">
        <x:v>The website says it is 1.5 meters long, and the packaging says it is 150 millimeters. Which size is correct?</x:v>
      </x:c>
      <x:c r="J49" s="80" t="str"/>
      <x:c r="K49" s="80" t="str"/>
      <x:c r="L49" s="80" t="str"/>
      <x:c r="M49" s="81" t="str"/>
      <x:c r="N49" s="82" t="str">
        <x:f>IF(F49=I49,"是","否")</x:f>
        <x:v>否</x:v>
      </x:c>
      <x:c r="O49" s="82" t="str">
        <x:f>IF(AND(G49&lt;&gt;"",J49&lt;&gt;""),"是","否")</x:f>
        <x:v>否</x:v>
      </x:c>
    </x:row>
    <x:row r="50" ht="54" customHeight="1">
      <x:c r="A50" s="78" t="str">
        <x:v>case-474351acbf5a45f9</x:v>
      </x:c>
      <x:c r="B50" s="78" t="str">
        <x:v>uz</x:v>
      </x:c>
      <x:c r="C50" s="78" t="str">
        <x:v>ru</x:v>
      </x:c>
      <x:c r="D50" s="78" t="str">
        <x:v>售后</x:v>
      </x:c>
      <x:c r="E50" s="79" t="str">
        <x:v>Buyurtmamda uchta daftar bor edi, lekin faqat ikkitasi keldi.</x:v>
      </x:c>
      <x:c r="F50" s="79" t="str">
        <x:v>У меня было три книги, но пришли только две.</x:v>
      </x:c>
      <x:c r="G50" s="80" t="str"/>
      <x:c r="H50" s="80" t="str"/>
      <x:c r="I50" s="79" t="str">
        <x:v>У меня было три книги, но пришли только две.</x:v>
      </x:c>
      <x:c r="J50" s="80" t="str"/>
      <x:c r="K50" s="80" t="str"/>
      <x:c r="L50" s="80" t="str"/>
      <x:c r="M50" s="81" t="str"/>
      <x:c r="N50" s="82" t="str">
        <x:f>IF(F50=I50,"是","否")</x:f>
        <x:v>是</x:v>
      </x:c>
      <x:c r="O50" s="82" t="str">
        <x:f>IF(AND(G50&lt;&gt;"",J50&lt;&gt;""),"是","否")</x:f>
        <x:v>否</x:v>
      </x:c>
    </x:row>
    <x:row r="51" ht="54" customHeight="1">
      <x:c r="A51" s="78" t="str">
        <x:v>case-5a4e1649eef5651a</x:v>
      </x:c>
      <x:c r="B51" s="78" t="str">
        <x:v>ru</x:v>
      </x:c>
      <x:c r="C51" s="78" t="str">
        <x:v>uz</x:v>
      </x:c>
      <x:c r="D51" s="78" t="str">
        <x:v>售后</x:v>
      </x:c>
      <x:c r="E51" s="79" t="str">
        <x:v>Я отменил только вторую доставку. Первую отменять не нужно.</x:v>
      </x:c>
      <x:c r="F51" s="79" t="str">
        <x:v>Men faqat ikkinchi jo'natishni bekor qildim. Birinchi jo'natishni bekor qilishning hojati yo'q.</x:v>
      </x:c>
      <x:c r="G51" s="80" t="str"/>
      <x:c r="H51" s="80" t="str"/>
      <x:c r="I51" s="79" t="str">
        <x:v>Men faqat ikkinchi jo'natishni bekor qildim. Birinchi jo'natishni bekor qilishning hojati yo'q.</x:v>
      </x:c>
      <x:c r="J51" s="80" t="str"/>
      <x:c r="K51" s="80" t="str"/>
      <x:c r="L51" s="80" t="str"/>
      <x:c r="M51" s="81" t="str"/>
      <x:c r="N51" s="82" t="str">
        <x:f>IF(F51=I51,"是","否")</x:f>
        <x:v>是</x:v>
      </x:c>
      <x:c r="O51" s="82" t="str">
        <x:f>IF(AND(G51&lt;&gt;"",J51&lt;&gt;""),"是","否")</x:f>
        <x:v>否</x:v>
      </x:c>
    </x:row>
    <x:row r="52" ht="54" customHeight="1">
      <x:c r="A52" s="78" t="str">
        <x:v>case-5718afd05b3b204a</x:v>
      </x:c>
      <x:c r="B52" s="78" t="str">
        <x:v>en</x:v>
      </x:c>
      <x:c r="C52" s="78" t="str">
        <x:v>ru</x:v>
      </x:c>
      <x:c r="D52" s="78" t="str">
        <x:v>售后</x:v>
      </x:c>
      <x:c r="E52" s="79" t="str">
        <x:v>I don't want to return the whole set. Can you replace just the damaged lid?</x:v>
      </x:c>
      <x:c r="F52" s="79" t="str">
        <x:v>Я не хочу вернуть весь набор. Можете ли вы заменить только поврежденную крышку?</x:v>
      </x:c>
      <x:c r="G52" s="80" t="str"/>
      <x:c r="H52" s="80" t="str"/>
      <x:c r="I52" s="79" t="str">
        <x:v>Я не хочу вернуть весь набор. Можете ли вы заменить только поврежденную крышку?</x:v>
      </x:c>
      <x:c r="J52" s="80" t="str"/>
      <x:c r="K52" s="80" t="str"/>
      <x:c r="L52" s="80" t="str"/>
      <x:c r="M52" s="81" t="str"/>
      <x:c r="N52" s="82" t="str">
        <x:f>IF(F52=I52,"是","否")</x:f>
        <x:v>是</x:v>
      </x:c>
      <x:c r="O52" s="82" t="str">
        <x:f>IF(AND(G52&lt;&gt;"",J52&lt;&gt;""),"是","否")</x:f>
        <x:v>否</x:v>
      </x:c>
    </x:row>
    <x:row r="53" ht="54" customHeight="1">
      <x:c r="A53" s="78" t="str">
        <x:v>case-2f4afbc750849be8</x:v>
      </x:c>
      <x:c r="B53" s="78" t="str">
        <x:v>en</x:v>
      </x:c>
      <x:c r="C53" s="78" t="str">
        <x:v>ru</x:v>
      </x:c>
      <x:c r="D53" s="78" t="str">
        <x:v>售后</x:v>
      </x:c>
      <x:c r="E53" s="79" t="str">
        <x:v>The device turns on only while it's plugged in, even after charging overnight.</x:v>
      </x:c>
      <x:c r="F53" s="79" t="str">
        <x:v>Устройство включается только в то время, как оно подключено, даже после зарядки в течение ночи.</x:v>
      </x:c>
      <x:c r="G53" s="80" t="str"/>
      <x:c r="H53" s="80" t="str"/>
      <x:c r="I53" s="79" t="str">
        <x:v>Устройство включается только в то время, как оно подключено, даже после зарядки в течение ночи.</x:v>
      </x:c>
      <x:c r="J53" s="80" t="str"/>
      <x:c r="K53" s="80" t="str"/>
      <x:c r="L53" s="80" t="str"/>
      <x:c r="M53" s="81" t="str"/>
      <x:c r="N53" s="82" t="str">
        <x:f>IF(F53=I53,"是","否")</x:f>
        <x:v>是</x:v>
      </x:c>
      <x:c r="O53" s="82" t="str">
        <x:f>IF(AND(G53&lt;&gt;"",J53&lt;&gt;""),"是","否")</x:f>
        <x:v>否</x:v>
      </x:c>
    </x:row>
    <x:row r="54" ht="54" customHeight="1">
      <x:c r="A54" s="78" t="str">
        <x:v>case-377a24b4db768b55</x:v>
      </x:c>
      <x:c r="B54" s="78" t="str">
        <x:v>uz</x:v>
      </x:c>
      <x:c r="C54" s="78" t="str">
        <x:v>zh</x:v>
      </x:c>
      <x:c r="D54" s="78" t="str">
        <x:v>日常</x:v>
      </x:c>
      <x:c r="E54" s="79" t="str">
        <x:v>Iltimos, eshikni yopib qo'ying, ammo qulflamang. Ukam hali kelgani yo'q.</x:v>
      </x:c>
      <x:c r="F54" s="79" t="str">
        <x:v>请关门,但不要锁。弟弟还没来。</x:v>
      </x:c>
      <x:c r="G54" s="80" t="str"/>
      <x:c r="H54" s="80" t="str"/>
      <x:c r="I54" s="79" t="str">
        <x:v>请关上门,但不要锁上。我哥哥还没有来。</x:v>
      </x:c>
      <x:c r="J54" s="80" t="str"/>
      <x:c r="K54" s="80" t="str"/>
      <x:c r="L54" s="80" t="str"/>
      <x:c r="M54" s="81" t="str"/>
      <x:c r="N54" s="82" t="str">
        <x:f>IF(F54=I54,"是","否")</x:f>
        <x:v>否</x:v>
      </x:c>
      <x:c r="O54" s="82" t="str">
        <x:f>IF(AND(G54&lt;&gt;"",J54&lt;&gt;""),"是","否")</x:f>
        <x:v>否</x:v>
      </x:c>
    </x:row>
    <x:row r="55" ht="54" customHeight="1">
      <x:c r="A55" s="78" t="str">
        <x:v>case-751af4dc52fdb9b6</x:v>
      </x:c>
      <x:c r="B55" s="78" t="str">
        <x:v>uz</x:v>
      </x:c>
      <x:c r="C55" s="78" t="str">
        <x:v>ru</x:v>
      </x:c>
      <x:c r="D55" s="78" t="str">
        <x:v>出行</x:v>
      </x:c>
      <x:c r="E55" s="79" t="str">
        <x:v>Samarqandga ketadigan poyezd qaysi yo'ldan jo'naydi? Chiptamda bu ma'lumot yo'q.</x:v>
      </x:c>
      <x:c r="F55" s="79" t="str">
        <x:v>Каким направлением отправляется поезд в Самарканд? На моем билете нет такой информации.</x:v>
      </x:c>
      <x:c r="G55" s="80" t="str"/>
      <x:c r="H55" s="80" t="str"/>
      <x:c r="I55" s="79" t="str">
        <x:v>По какому пути отправляется поезд в Самарканд? На моем билете нет этой информации.</x:v>
      </x:c>
      <x:c r="J55" s="80" t="str"/>
      <x:c r="K55" s="80" t="str"/>
      <x:c r="L55" s="80" t="str"/>
      <x:c r="M55" s="81" t="str"/>
      <x:c r="N55" s="82" t="str">
        <x:f>IF(F55=I55,"是","否")</x:f>
        <x:v>否</x:v>
      </x:c>
      <x:c r="O55" s="82" t="str">
        <x:f>IF(AND(G55&lt;&gt;"",J55&lt;&gt;""),"是","否")</x:f>
        <x:v>否</x:v>
      </x:c>
    </x:row>
    <x:row r="56" ht="54" customHeight="1">
      <x:c r="A56" s="78" t="str">
        <x:v>case-02a0e78f6508c345</x:v>
      </x:c>
      <x:c r="B56" s="78" t="str">
        <x:v>zh</x:v>
      </x:c>
      <x:c r="C56" s="78" t="str">
        <x:v>ru</x:v>
      </x:c>
      <x:c r="D56" s="78" t="str">
        <x:v>售后</x:v>
      </x:c>
      <x:c r="E56" s="79" t="str">
        <x:v>屏幕没有裂，但右上角一直不响应触摸。</x:v>
      </x:c>
      <x:c r="F56" s="79" t="str">
        <x:v>Экран не раскол, но верхний правый угол не отвечает на прикосновение.</x:v>
      </x:c>
      <x:c r="G56" s="80" t="str"/>
      <x:c r="H56" s="80" t="str"/>
      <x:c r="I56" s="79" t="str">
        <x:v>Экран не раскол, но верхний правый угол не отвечает на прикосновение.</x:v>
      </x:c>
      <x:c r="J56" s="80" t="str"/>
      <x:c r="K56" s="80" t="str"/>
      <x:c r="L56" s="80" t="str"/>
      <x:c r="M56" s="81" t="str"/>
      <x:c r="N56" s="82" t="str">
        <x:f>IF(F56=I56,"是","否")</x:f>
        <x:v>是</x:v>
      </x:c>
      <x:c r="O56" s="82" t="str">
        <x:f>IF(AND(G56&lt;&gt;"",J56&lt;&gt;""),"是","否")</x:f>
        <x:v>否</x:v>
      </x:c>
    </x:row>
    <x:row r="57" ht="54" customHeight="1">
      <x:c r="A57" s="78" t="str">
        <x:v>case-ab2e4b54be2f9f58</x:v>
      </x:c>
      <x:c r="B57" s="78" t="str">
        <x:v>uz</x:v>
      </x:c>
      <x:c r="C57" s="78" t="str">
        <x:v>zh</x:v>
      </x:c>
      <x:c r="D57" s="78" t="str">
        <x:v>工作学习</x:v>
      </x:c>
      <x:c r="E57" s="79" t="str">
        <x:v>Jadvaldagi narxlar bir dona uchun berilgan, butun quti uchun emas.</x:v>
      </x:c>
      <x:c r="F57" s="79" t="str">
        <x:v>表中的价格为单品,而不是整个盒子。</x:v>
      </x:c>
      <x:c r="G57" s="80" t="str"/>
      <x:c r="H57" s="80" t="str"/>
      <x:c r="I57" s="79" t="str">
        <x:v>表中的价格是单品,而不是整个盒子.</x:v>
      </x:c>
      <x:c r="J57" s="80" t="str"/>
      <x:c r="K57" s="80" t="str"/>
      <x:c r="L57" s="80" t="str"/>
      <x:c r="M57" s="81" t="str"/>
      <x:c r="N57" s="82" t="str">
        <x:f>IF(F57=I57,"是","否")</x:f>
        <x:v>否</x:v>
      </x:c>
      <x:c r="O57" s="82" t="str">
        <x:f>IF(AND(G57&lt;&gt;"",J57&lt;&gt;""),"是","否")</x:f>
        <x:v>否</x:v>
      </x:c>
    </x:row>
    <x:row r="58" ht="54" customHeight="1">
      <x:c r="A58" s="78" t="str">
        <x:v>case-41330b782204b6c2</x:v>
      </x:c>
      <x:c r="B58" s="78" t="str">
        <x:v>zh</x:v>
      </x:c>
      <x:c r="C58" s="78" t="str">
        <x:v>ru</x:v>
      </x:c>
      <x:c r="D58" s="78" t="str">
        <x:v>日常</x:v>
      </x:c>
      <x:c r="E58" s="79" t="str">
        <x:v>麻烦把音乐调小一点，孩子刚睡着。</x:v>
      </x:c>
      <x:c r="F58" s="79" t="str">
        <x:v>Музыка немного уменьшилась, и ребенок только что заснул.</x:v>
      </x:c>
      <x:c r="G58" s="80" t="str"/>
      <x:c r="H58" s="80" t="str"/>
      <x:c r="I58" s="79" t="str">
        <x:v>Музыка немного уменьшилась, и ребенок только что заснул.</x:v>
      </x:c>
      <x:c r="J58" s="80" t="str"/>
      <x:c r="K58" s="80" t="str"/>
      <x:c r="L58" s="80" t="str"/>
      <x:c r="M58" s="81" t="str"/>
      <x:c r="N58" s="82" t="str">
        <x:f>IF(F58=I58,"是","否")</x:f>
        <x:v>是</x:v>
      </x:c>
      <x:c r="O58" s="82" t="str">
        <x:f>IF(AND(G58&lt;&gt;"",J58&lt;&gt;""),"是","否")</x:f>
        <x:v>否</x:v>
      </x:c>
    </x:row>
    <x:row r="59" ht="54" customHeight="1">
      <x:c r="A59" s="78" t="str">
        <x:v>case-6542cc25aff3fbe2</x:v>
      </x:c>
      <x:c r="B59" s="78" t="str">
        <x:v>uz</x:v>
      </x:c>
      <x:c r="C59" s="78" t="str">
        <x:v>en</x:v>
      </x:c>
      <x:c r="D59" s="78" t="str">
        <x:v>出行</x:v>
      </x:c>
      <x:c r="E59" s="79" t="str">
        <x:v>Samarqandga ketadigan poyezd qaysi yo'ldan jo'naydi? Chiptamda bu ma'lumot yo'q.</x:v>
      </x:c>
      <x:c r="F59" s="79" t="str">
        <x:v>Which way does the train to Samarkand leave? I don't have this information on my ticket.</x:v>
      </x:c>
      <x:c r="G59" s="80" t="str"/>
      <x:c r="H59" s="80" t="str"/>
      <x:c r="I59" s="79" t="str">
        <x:v>Which way does the train to Samarkand leave? I don't have this information on my ticket.</x:v>
      </x:c>
      <x:c r="J59" s="80" t="str"/>
      <x:c r="K59" s="80" t="str"/>
      <x:c r="L59" s="80" t="str"/>
      <x:c r="M59" s="81" t="str"/>
      <x:c r="N59" s="82" t="str">
        <x:f>IF(F59=I59,"是","否")</x:f>
        <x:v>是</x:v>
      </x:c>
      <x:c r="O59" s="82" t="str">
        <x:f>IF(AND(G59&lt;&gt;"",J59&lt;&gt;""),"是","否")</x:f>
        <x:v>否</x:v>
      </x:c>
    </x:row>
    <x:row r="60" ht="54" customHeight="1">
      <x:c r="A60" s="78" t="str">
        <x:v>case-62307b8046e7c262</x:v>
      </x:c>
      <x:c r="B60" s="78" t="str">
        <x:v>en</x:v>
      </x:c>
      <x:c r="C60" s="78" t="str">
        <x:v>ru</x:v>
      </x:c>
      <x:c r="D60" s="78" t="str">
        <x:v>工作学习</x:v>
      </x:c>
      <x:c r="E60" s="79" t="str">
        <x:v>The parcel weighs 2.5 kilograms without the packaging and 2.8 kilograms with it.</x:v>
      </x:c>
      <x:c r="F60" s="79" t="str">
        <x:v>Пакет весит 2,5 кг без упаковки и 2,8 кг с ним.</x:v>
      </x:c>
      <x:c r="G60" s="80" t="str"/>
      <x:c r="H60" s="80" t="str"/>
      <x:c r="I60" s="79" t="str">
        <x:v>Пакет весит 2,5 килограмма без упаковки и 2,8 килограмма с ним.</x:v>
      </x:c>
      <x:c r="J60" s="80" t="str"/>
      <x:c r="K60" s="80" t="str"/>
      <x:c r="L60" s="80" t="str"/>
      <x:c r="M60" s="81" t="str"/>
      <x:c r="N60" s="82" t="str">
        <x:f>IF(F60=I60,"是","否")</x:f>
        <x:v>否</x:v>
      </x:c>
      <x:c r="O60" s="82" t="str">
        <x:f>IF(AND(G60&lt;&gt;"",J60&lt;&gt;""),"是","否")</x:f>
        <x:v>否</x:v>
      </x:c>
    </x:row>
    <x:row r="61" ht="54" customHeight="1">
      <x:c r="A61" s="78" t="str">
        <x:v>case-03bd5e2b7a183f27</x:v>
      </x:c>
      <x:c r="B61" s="78" t="str">
        <x:v>uz</x:v>
      </x:c>
      <x:c r="C61" s="78" t="str">
        <x:v>ru</x:v>
      </x:c>
      <x:c r="D61" s="78" t="str">
        <x:v>日常</x:v>
      </x:c>
      <x:c r="E61" s="79" t="str">
        <x:v>Iltimos, eshikni yopib qo'ying, ammo qulflamang. Ukam hali kelgani yo'q.</x:v>
      </x:c>
      <x:c r="F61" s="79" t="str">
        <x:v>Пожалуйста, закройте дверь, но не закройте. Мой брат еще не пришел.</x:v>
      </x:c>
      <x:c r="G61" s="80" t="str"/>
      <x:c r="H61" s="80" t="str"/>
      <x:c r="I61" s="79" t="str">
        <x:v>Пожалуйста, закройте дверь, но не закройте её. Мой брат ещё не пришел.</x:v>
      </x:c>
      <x:c r="J61" s="80" t="str"/>
      <x:c r="K61" s="80" t="str"/>
      <x:c r="L61" s="80" t="str"/>
      <x:c r="M61" s="81" t="str"/>
      <x:c r="N61" s="82" t="str">
        <x:f>IF(F61=I61,"是","否")</x:f>
        <x:v>否</x:v>
      </x:c>
      <x:c r="O61" s="82" t="str">
        <x:f>IF(AND(G61&lt;&gt;"",J61&lt;&gt;""),"是","否")</x:f>
        <x:v>否</x:v>
      </x:c>
    </x:row>
    <x:row r="62" ht="54" customHeight="1">
      <x:c r="A62" s="78" t="str">
        <x:v>case-a56d7b2967d092b2</x:v>
      </x:c>
      <x:c r="B62" s="78" t="str">
        <x:v>en</x:v>
      </x:c>
      <x:c r="C62" s="78" t="str">
        <x:v>ru</x:v>
      </x:c>
      <x:c r="D62" s="78" t="str">
        <x:v>出行</x:v>
      </x:c>
      <x:c r="E62" s="79" t="str">
        <x:v>Our flight arrives at 11:40 p.m., so we'll need to check in after midnight.</x:v>
      </x:c>
      <x:c r="F62" s="79" t="str">
        <x:v>Наш рейс прибывает в 23:40, поэтому нам придётся зарегистрироваться после полуночи.</x:v>
      </x:c>
      <x:c r="G62" s="80" t="str"/>
      <x:c r="H62" s="80" t="str"/>
      <x:c r="I62" s="79" t="str">
        <x:v>Наш рейс прибывает в 11:40 вечера, поэтому нам нужно будет зарегистрироваться после полуночи.</x:v>
      </x:c>
      <x:c r="J62" s="80" t="str"/>
      <x:c r="K62" s="80" t="str"/>
      <x:c r="L62" s="80" t="str"/>
      <x:c r="M62" s="81" t="str"/>
      <x:c r="N62" s="82" t="str">
        <x:f>IF(F62=I62,"是","否")</x:f>
        <x:v>否</x:v>
      </x:c>
      <x:c r="O62" s="82" t="str">
        <x:f>IF(AND(G62&lt;&gt;"",J62&lt;&gt;""),"是","否")</x:f>
        <x:v>否</x:v>
      </x:c>
    </x:row>
    <x:row r="63" ht="54" customHeight="1">
      <x:c r="A63" s="78" t="str">
        <x:v>case-3d40bfded4813310</x:v>
      </x:c>
      <x:c r="B63" s="78" t="str">
        <x:v>en</x:v>
      </x:c>
      <x:c r="C63" s="78" t="str">
        <x:v>uz</x:v>
      </x:c>
      <x:c r="D63" s="78" t="str">
        <x:v>日常</x:v>
      </x:c>
      <x:c r="E63" s="79" t="str">
        <x:v>Neither of us has booked a table yet, so could you call the restaurant?</x:v>
      </x:c>
      <x:c r="F63" s="79" t="str">
        <x:v>Bizdan hech kim hali stolni buyurtma qilmagan, shuning uchun restoranga qo'ng'iroq qila olasizmi?</x:v>
      </x:c>
      <x:c r="G63" s="80" t="str"/>
      <x:c r="H63" s="80" t="str"/>
      <x:c r="I63" s="79" t="str">
        <x:v>Ikkalasi ham hozircha dasturxon o'rnatmagan, shuning uchun restoranga qo'ng'iroq qila olasizmi?</x:v>
      </x:c>
      <x:c r="J63" s="80" t="str"/>
      <x:c r="K63" s="80" t="str"/>
      <x:c r="L63" s="80" t="str"/>
      <x:c r="M63" s="81" t="str"/>
      <x:c r="N63" s="82" t="str">
        <x:f>IF(F63=I63,"是","否")</x:f>
        <x:v>否</x:v>
      </x:c>
      <x:c r="O63" s="82" t="str">
        <x:f>IF(AND(G63&lt;&gt;"",J63&lt;&gt;""),"是","否")</x:f>
        <x:v>否</x:v>
      </x:c>
    </x:row>
    <x:row r="64" ht="54" customHeight="1">
      <x:c r="A64" s="78" t="str">
        <x:v>case-492e2a44bd0ae940</x:v>
      </x:c>
      <x:c r="B64" s="78" t="str">
        <x:v>zh</x:v>
      </x:c>
      <x:c r="C64" s="78" t="str">
        <x:v>en</x:v>
      </x:c>
      <x:c r="D64" s="78" t="str">
        <x:v>日常</x:v>
      </x:c>
      <x:c r="E64" s="79" t="str">
        <x:v>我不是不想参加，只是周六上午已经有安排了。</x:v>
      </x:c>
      <x:c r="F64" s="79" t="str">
        <x:v>It's not that I don't want to attend, it's just that Saturday morning has already been arranged.</x:v>
      </x:c>
      <x:c r="G64" s="80" t="str"/>
      <x:c r="H64" s="80" t="str"/>
      <x:c r="I64" s="79" t="str">
        <x:v>It's not that I don't want to attend, it's just that Saturday morning has already been arranged.</x:v>
      </x:c>
      <x:c r="J64" s="80" t="str"/>
      <x:c r="K64" s="80" t="str"/>
      <x:c r="L64" s="80" t="str"/>
      <x:c r="M64" s="81" t="str"/>
      <x:c r="N64" s="82" t="str">
        <x:f>IF(F64=I64,"是","否")</x:f>
        <x:v>是</x:v>
      </x:c>
      <x:c r="O64" s="82" t="str">
        <x:f>IF(AND(G64&lt;&gt;"",J64&lt;&gt;""),"是","否")</x:f>
        <x:v>否</x:v>
      </x:c>
    </x:row>
    <x:row r="65" ht="54" customHeight="1">
      <x:c r="A65" s="78" t="str">
        <x:v>case-38a10c13602ed755</x:v>
      </x:c>
      <x:c r="B65" s="78" t="str">
        <x:v>ru</x:v>
      </x:c>
      <x:c r="C65" s="78" t="str">
        <x:v>uz</x:v>
      </x:c>
      <x:c r="D65" s="78" t="str">
        <x:v>日常</x:v>
      </x:c>
      <x:c r="E65" s="79" t="str">
        <x:v>Мне нужен не горячий, а тёплый чай, без сахара.</x:v>
      </x:c>
      <x:c r="F65" s="79" t="str">
        <x:v>Menga issiq choy emas, balki issiq, shakarsiz choy kerak.</x:v>
      </x:c>
      <x:c r="G65" s="80" t="str"/>
      <x:c r="H65" s="80" t="str"/>
      <x:c r="I65" s="79" t="str">
        <x:v>Men issiq choyga emas, balki issiq, shakarsiz choyga muhtojman.</x:v>
      </x:c>
      <x:c r="J65" s="80" t="str"/>
      <x:c r="K65" s="80" t="str"/>
      <x:c r="L65" s="80" t="str"/>
      <x:c r="M65" s="81" t="str"/>
      <x:c r="N65" s="82" t="str">
        <x:f>IF(F65=I65,"是","否")</x:f>
        <x:v>否</x:v>
      </x:c>
      <x:c r="O65" s="82" t="str">
        <x:f>IF(AND(G65&lt;&gt;"",J65&lt;&gt;""),"是","否")</x:f>
        <x:v>否</x:v>
      </x:c>
    </x:row>
    <x:row r="66" ht="54" customHeight="1">
      <x:c r="A66" s="78" t="str">
        <x:v>case-b890e73575a2e3a4</x:v>
      </x:c>
      <x:c r="B66" s="78" t="str">
        <x:v>ru</x:v>
      </x:c>
      <x:c r="C66" s="78" t="str">
        <x:v>zh</x:v>
      </x:c>
      <x:c r="D66" s="78" t="str">
        <x:v>工作学习</x:v>
      </x:c>
      <x:c r="E66" s="79" t="str">
        <x:v>Отправьте документ всем участникам, кроме тех, кто уже получил его вчера.</x:v>
      </x:c>
      <x:c r="F66" s="79" t="str">
        <x:v>发文件畀所有人,除咗昨天收到嘅。</x:v>
      </x:c>
      <x:c r="G66" s="80" t="str"/>
      <x:c r="H66" s="80" t="str"/>
      <x:c r="I66" s="79" t="str">
        <x:v>发送文件给所有参与者,除了昨天已经收到文件的人外。</x:v>
      </x:c>
      <x:c r="J66" s="80" t="str"/>
      <x:c r="K66" s="80" t="str"/>
      <x:c r="L66" s="80" t="str"/>
      <x:c r="M66" s="81" t="str"/>
      <x:c r="N66" s="82" t="str">
        <x:f>IF(F66=I66,"是","否")</x:f>
        <x:v>否</x:v>
      </x:c>
      <x:c r="O66" s="82" t="str">
        <x:f>IF(AND(G66&lt;&gt;"",J66&lt;&gt;""),"是","否")</x:f>
        <x:v>否</x:v>
      </x:c>
    </x:row>
    <x:row r="67" ht="54" customHeight="1">
      <x:c r="A67" s="78" t="str">
        <x:v>case-1429ffbbebf11719</x:v>
      </x:c>
      <x:c r="B67" s="78" t="str">
        <x:v>zh</x:v>
      </x:c>
      <x:c r="C67" s="78" t="str">
        <x:v>uz</x:v>
      </x:c>
      <x:c r="D67" s="78" t="str">
        <x:v>日常</x:v>
      </x:c>
      <x:c r="E67" s="79" t="str">
        <x:v>我不是不想参加，只是周六上午已经有安排了。</x:v>
      </x:c>
      <x:c r="F67" s="79" t="str">
        <x:v>Men qatnashishni xohlamayman, faqat shanba kuni ertalab rejalashtirilgan.</x:v>
      </x:c>
      <x:c r="G67" s="80" t="str"/>
      <x:c r="H67" s="80" t="str"/>
      <x:c r="I67" s="79" t="str">
        <x:v>Men qatnashishni xohlamayman emas, faqat shanba kuni ertalab rejalashtirilgan.</x:v>
      </x:c>
      <x:c r="J67" s="80" t="str"/>
      <x:c r="K67" s="80" t="str"/>
      <x:c r="L67" s="80" t="str"/>
      <x:c r="M67" s="81" t="str"/>
      <x:c r="N67" s="82" t="str">
        <x:f>IF(F67=I67,"是","否")</x:f>
        <x:v>否</x:v>
      </x:c>
      <x:c r="O67" s="82" t="str">
        <x:f>IF(AND(G67&lt;&gt;"",J67&lt;&gt;""),"是","否")</x:f>
        <x:v>否</x:v>
      </x:c>
    </x:row>
    <x:row r="68" ht="54" customHeight="1">
      <x:c r="A68" s="78" t="str">
        <x:v>case-4737816be905a87a</x:v>
      </x:c>
      <x:c r="B68" s="78" t="str">
        <x:v>zh</x:v>
      </x:c>
      <x:c r="C68" s="78" t="str">
        <x:v>uz</x:v>
      </x:c>
      <x:c r="D68" s="78" t="str">
        <x:v>日常</x:v>
      </x:c>
      <x:c r="E68" s="79" t="str">
        <x:v>如果你先到，请在楼下等我，不要直接上三楼。</x:v>
      </x:c>
      <x:c r="F68" s="79" t="str">
        <x:v>Agar siz birinchi bo'lsangiz, meni pastda kutib turing, uchinchi qavatga to'g'ridan-to'g'ri chiqmang.</x:v>
      </x:c>
      <x:c r="G68" s="80" t="str"/>
      <x:c r="H68" s="80" t="str"/>
      <x:c r="I68" s="79" t="str">
        <x:v>Agar siz birinchi bo'lsangiz, meni pastda kutib turing, uchinchi qavatga chiqmang.</x:v>
      </x:c>
      <x:c r="J68" s="80" t="str"/>
      <x:c r="K68" s="80" t="str"/>
      <x:c r="L68" s="80" t="str"/>
      <x:c r="M68" s="81" t="str"/>
      <x:c r="N68" s="82" t="str">
        <x:f>IF(F68=I68,"是","否")</x:f>
        <x:v>否</x:v>
      </x:c>
      <x:c r="O68" s="82" t="str">
        <x:f>IF(AND(G68&lt;&gt;"",J68&lt;&gt;""),"是","否")</x:f>
        <x:v>否</x:v>
      </x:c>
    </x:row>
    <x:row r="69" ht="54" customHeight="1">
      <x:c r="A69" s="78" t="str">
        <x:v>case-dc850f251bacec79</x:v>
      </x:c>
      <x:c r="B69" s="78" t="str">
        <x:v>uz</x:v>
      </x:c>
      <x:c r="C69" s="78" t="str">
        <x:v>ru</x:v>
      </x:c>
      <x:c r="D69" s="78" t="str">
        <x:v>日常</x:v>
      </x:c>
      <x:c r="E69" s="79" t="str">
        <x:v>Choyga limon soling, shakar esa kerak emas.</x:v>
      </x:c>
      <x:c r="F69" s="79" t="str">
        <x:v>Положите лимон в чай, а сахара не нужна.</x:v>
      </x:c>
      <x:c r="G69" s="80" t="str"/>
      <x:c r="H69" s="80" t="str"/>
      <x:c r="I69" s="79" t="str">
        <x:v>Положите лимон в чай, а сахара не нужна.</x:v>
      </x:c>
      <x:c r="J69" s="80" t="str"/>
      <x:c r="K69" s="80" t="str"/>
      <x:c r="L69" s="80" t="str"/>
      <x:c r="M69" s="81" t="str"/>
      <x:c r="N69" s="82" t="str">
        <x:f>IF(F69=I69,"是","否")</x:f>
        <x:v>是</x:v>
      </x:c>
      <x:c r="O69" s="82" t="str">
        <x:f>IF(AND(G69&lt;&gt;"",J69&lt;&gt;""),"是","否")</x:f>
        <x:v>否</x:v>
      </x:c>
    </x:row>
    <x:row r="70" ht="54" customHeight="1">
      <x:c r="A70" s="78" t="str">
        <x:v>case-a2a6d45a9bc2194e</x:v>
      </x:c>
      <x:c r="B70" s="78" t="str">
        <x:v>en</x:v>
      </x:c>
      <x:c r="C70" s="78" t="str">
        <x:v>ru</x:v>
      </x:c>
      <x:c r="D70" s="78" t="str">
        <x:v>工作学习</x:v>
      </x:c>
      <x:c r="E70" s="79" t="str">
        <x:v>Only students who missed the first session need to complete this form.</x:v>
      </x:c>
      <x:c r="F70" s="79" t="str">
        <x:v>Только студенты, которые пропустили первую сессию, должны заполнить эту форму.</x:v>
      </x:c>
      <x:c r="G70" s="80" t="str"/>
      <x:c r="H70" s="80" t="str"/>
      <x:c r="I70" s="79" t="str">
        <x:v>Только студенты, которые пропустили первую сессию, должны заполнить эту форму.</x:v>
      </x:c>
      <x:c r="J70" s="80" t="str"/>
      <x:c r="K70" s="80" t="str"/>
      <x:c r="L70" s="80" t="str"/>
      <x:c r="M70" s="81" t="str"/>
      <x:c r="N70" s="82" t="str">
        <x:f>IF(F70=I70,"是","否")</x:f>
        <x:v>是</x:v>
      </x:c>
      <x:c r="O70" s="82" t="str">
        <x:f>IF(AND(G70&lt;&gt;"",J70&lt;&gt;""),"是","否")</x:f>
        <x:v>否</x:v>
      </x:c>
    </x:row>
    <x:row r="71" ht="54" customHeight="1">
      <x:c r="A71" s="78" t="str">
        <x:v>case-268913a5d50b971c</x:v>
      </x:c>
      <x:c r="B71" s="78" t="str">
        <x:v>uz</x:v>
      </x:c>
      <x:c r="C71" s="78" t="str">
        <x:v>zh</x:v>
      </x:c>
      <x:c r="D71" s="78" t="str">
        <x:v>售后</x:v>
      </x:c>
      <x:c r="E71" s="79" t="str">
        <x:v>Pul kartamdan yechildi, lekin buyurtma tasdiqlanmadi. Qayta to'lashim kerakmi?</x:v>
      </x:c>
      <x:c r="F71" s="79" t="str">
        <x:v>我的卡片被删除,但订单未得到确认.我是否需要退款?</x:v>
      </x:c>
      <x:c r="G71" s="80" t="str"/>
      <x:c r="H71" s="80" t="str"/>
      <x:c r="I71" s="79" t="str">
        <x:v>我卡上的钱被解开了,但订单未得到确认。我需要退款吗?</x:v>
      </x:c>
      <x:c r="J71" s="80" t="str"/>
      <x:c r="K71" s="80" t="str"/>
      <x:c r="L71" s="80" t="str"/>
      <x:c r="M71" s="81" t="str"/>
      <x:c r="N71" s="82" t="str">
        <x:f>IF(F71=I71,"是","否")</x:f>
        <x:v>否</x:v>
      </x:c>
      <x:c r="O71" s="82" t="str">
        <x:f>IF(AND(G71&lt;&gt;"",J71&lt;&gt;""),"是","否")</x:f>
        <x:v>否</x:v>
      </x:c>
    </x:row>
    <x:row r="72" ht="54" customHeight="1">
      <x:c r="A72" s="78" t="str">
        <x:v>case-91b1241155d603e1</x:v>
      </x:c>
      <x:c r="B72" s="78" t="str">
        <x:v>uz</x:v>
      </x:c>
      <x:c r="C72" s="78" t="str">
        <x:v>ru</x:v>
      </x:c>
      <x:c r="D72" s="78" t="str">
        <x:v>售后</x:v>
      </x:c>
      <x:c r="E72" s="79" t="str">
        <x:v>Yetkazib berish narxi ko'rsatilgan summaga kiradimi yoki alohida to'lanadimi?</x:v>
      </x:c>
      <x:c r="F72" s="79" t="str">
        <x:v>Входит ли стоимость доставки в указанную сумму или оплачивается отдельно?</x:v>
      </x:c>
      <x:c r="G72" s="80" t="str"/>
      <x:c r="H72" s="80" t="str"/>
      <x:c r="I72" s="79" t="str">
        <x:v>Входит ли стоимость доставки в указанную сумму или оплачивается отдельно?</x:v>
      </x:c>
      <x:c r="J72" s="80" t="str"/>
      <x:c r="K72" s="80" t="str"/>
      <x:c r="L72" s="80" t="str"/>
      <x:c r="M72" s="81" t="str"/>
      <x:c r="N72" s="82" t="str">
        <x:f>IF(F72=I72,"是","否")</x:f>
        <x:v>是</x:v>
      </x:c>
      <x:c r="O72" s="82" t="str">
        <x:f>IF(AND(G72&lt;&gt;"",J72&lt;&gt;""),"是","否")</x:f>
        <x:v>否</x:v>
      </x:c>
    </x:row>
    <x:row r="73" ht="54" customHeight="1">
      <x:c r="A73" s="78" t="str">
        <x:v>case-34dc8755be61dc18</x:v>
      </x:c>
      <x:c r="B73" s="78" t="str">
        <x:v>en</x:v>
      </x:c>
      <x:c r="C73" s="78" t="str">
        <x:v>uz</x:v>
      </x:c>
      <x:c r="D73" s="78" t="str">
        <x:v>出行</x:v>
      </x:c>
      <x:c r="E73" s="79" t="str">
        <x:v>I'd like a return ticket for Tuesday, coming back on Thursday, with no reserved seat.</x:v>
      </x:c>
      <x:c r="F73" s="79" t="str">
        <x:v>Men sal kunga qaytish chiptasini xohlayman, payshanba kuni qaytamiz, hech qanday o'rinsiz.</x:v>
      </x:c>
      <x:c r="G73" s="80" t="str"/>
      <x:c r="H73" s="80" t="str"/>
      <x:c r="I73" s="79" t="str">
        <x:v>Men sal kunga qaytish chiptasini xohlayman, payshanba kuni qaytib kelaman, hech qanday o'rinsiz.</x:v>
      </x:c>
      <x:c r="J73" s="80" t="str"/>
      <x:c r="K73" s="80" t="str"/>
      <x:c r="L73" s="80" t="str"/>
      <x:c r="M73" s="81" t="str"/>
      <x:c r="N73" s="82" t="str">
        <x:f>IF(F73=I73,"是","否")</x:f>
        <x:v>否</x:v>
      </x:c>
      <x:c r="O73" s="82" t="str">
        <x:f>IF(AND(G73&lt;&gt;"",J73&lt;&gt;""),"是","否")</x:f>
        <x:v>否</x:v>
      </x:c>
    </x:row>
    <x:row r="74" ht="54" customHeight="1">
      <x:c r="A74" s="78" t="str">
        <x:v>case-2bc0676ab94ec4c2</x:v>
      </x:c>
      <x:c r="B74" s="78" t="str">
        <x:v>en</x:v>
      </x:c>
      <x:c r="C74" s="78" t="str">
        <x:v>zh</x:v>
      </x:c>
      <x:c r="D74" s="78" t="str">
        <x:v>售后</x:v>
      </x:c>
      <x:c r="E74" s="79" t="str">
        <x:v>Please send the replacement to my office; the address on the original order is no longer valid.</x:v>
      </x:c>
      <x:c r="F74" s="79" t="str">
        <x:v>请把替代品寄给我的办公室;原订单上的地址不再有效。</x:v>
      </x:c>
      <x:c r="G74" s="80" t="str"/>
      <x:c r="H74" s="80" t="str"/>
      <x:c r="I74" s="79" t="str">
        <x:v>请寄替代品给我的办公室;原订单上的地址已无效。</x:v>
      </x:c>
      <x:c r="J74" s="80" t="str"/>
      <x:c r="K74" s="80" t="str"/>
      <x:c r="L74" s="80" t="str"/>
      <x:c r="M74" s="81" t="str"/>
      <x:c r="N74" s="82" t="str">
        <x:f>IF(F74=I74,"是","否")</x:f>
        <x:v>否</x:v>
      </x:c>
      <x:c r="O74" s="82" t="str">
        <x:f>IF(AND(G74&lt;&gt;"",J74&lt;&gt;""),"是","否")</x:f>
        <x:v>否</x:v>
      </x:c>
    </x:row>
    <x:row r="75" ht="54" customHeight="1">
      <x:c r="A75" s="78" t="str">
        <x:v>case-1749e5cd210cbdbe</x:v>
      </x:c>
      <x:c r="B75" s="78" t="str">
        <x:v>uz</x:v>
      </x:c>
      <x:c r="C75" s="78" t="str">
        <x:v>ru</x:v>
      </x:c>
      <x:c r="D75" s="78" t="str">
        <x:v>工作学习</x:v>
      </x:c>
      <x:c r="E75" s="79" t="str">
        <x:v>Jadvaldagi narxlar bir dona uchun berilgan, butun quti uchun emas.</x:v>
      </x:c>
      <x:c r="F75" s="79" t="str">
        <x:v>Цена в таблице приведена за одну бутылку, а не за всю коробку.</x:v>
      </x:c>
      <x:c r="G75" s="80" t="str"/>
      <x:c r="H75" s="80" t="str"/>
      <x:c r="I75" s="79" t="str">
        <x:v>Цена в таблице указана на одну кусочку, а не на всю коробку.</x:v>
      </x:c>
      <x:c r="J75" s="80" t="str"/>
      <x:c r="K75" s="80" t="str"/>
      <x:c r="L75" s="80" t="str"/>
      <x:c r="M75" s="81" t="str"/>
      <x:c r="N75" s="82" t="str">
        <x:f>IF(F75=I75,"是","否")</x:f>
        <x:v>否</x:v>
      </x:c>
      <x:c r="O75" s="82" t="str">
        <x:f>IF(AND(G75&lt;&gt;"",J75&lt;&gt;""),"是","否")</x:f>
        <x:v>否</x:v>
      </x:c>
    </x:row>
    <x:row r="76" ht="54" customHeight="1">
      <x:c r="A76" s="78" t="str">
        <x:v>case-457e00c3fdbecc6c</x:v>
      </x:c>
      <x:c r="B76" s="78" t="str">
        <x:v>zh</x:v>
      </x:c>
      <x:c r="C76" s="78" t="str">
        <x:v>uz</x:v>
      </x:c>
      <x:c r="D76" s="78" t="str">
        <x:v>出行</x:v>
      </x:c>
      <x:c r="E76" s="79" t="str">
        <x:v>请问到北门应该在下一站下车，还是再坐两站？</x:v>
      </x:c>
      <x:c r="F76" s="79" t="str">
        <x:v>Iltimos, Shimoliy darvoza navbatdagi stansiyada chiqishi kerakmi yoki yana ikki stansiyaga o'tirishi kerakmi?</x:v>
      </x:c>
      <x:c r="G76" s="80" t="str"/>
      <x:c r="H76" s="80" t="str"/>
      <x:c r="I76" s="79" t="str">
        <x:v>Shimoliy darvoza navbatdagi stantsiyaga tushishi kerakmi yoki yana ikkita stantsiyaga o'tirishi kerakmi?</x:v>
      </x:c>
      <x:c r="J76" s="80" t="str"/>
      <x:c r="K76" s="80" t="str"/>
      <x:c r="L76" s="80" t="str"/>
      <x:c r="M76" s="81" t="str"/>
      <x:c r="N76" s="82" t="str">
        <x:f>IF(F76=I76,"是","否")</x:f>
        <x:v>否</x:v>
      </x:c>
      <x:c r="O76" s="82" t="str">
        <x:f>IF(AND(G76&lt;&gt;"",J76&lt;&gt;""),"是","否")</x:f>
        <x:v>否</x:v>
      </x:c>
    </x:row>
    <x:row r="77" ht="54" customHeight="1">
      <x:c r="A77" s="78" t="str">
        <x:v>case-e223852f80a2e115</x:v>
      </x:c>
      <x:c r="B77" s="78" t="str">
        <x:v>uz</x:v>
      </x:c>
      <x:c r="C77" s="78" t="str">
        <x:v>zh</x:v>
      </x:c>
      <x:c r="D77" s="78" t="str">
        <x:v>工作学习</x:v>
      </x:c>
      <x:c r="E77" s="79" t="str">
        <x:v>Faqat ro'yxatdan o'tgan ishtirokchilarga sertifikat beriladi.</x:v>
      </x:c>
      <x:c r="F77" s="79" t="str">
        <x:v>只有注册参加者才能获得证书。</x:v>
      </x:c>
      <x:c r="G77" s="80" t="str"/>
      <x:c r="H77" s="80" t="str"/>
      <x:c r="I77" s="79" t="str">
        <x:v>只有注册参与者才能获得证书.</x:v>
      </x:c>
      <x:c r="J77" s="80" t="str"/>
      <x:c r="K77" s="80" t="str"/>
      <x:c r="L77" s="80" t="str"/>
      <x:c r="M77" s="81" t="str"/>
      <x:c r="N77" s="82" t="str">
        <x:f>IF(F77=I77,"是","否")</x:f>
        <x:v>否</x:v>
      </x:c>
      <x:c r="O77" s="82" t="str">
        <x:f>IF(AND(G77&lt;&gt;"",J77&lt;&gt;""),"是","否")</x:f>
        <x:v>否</x:v>
      </x:c>
    </x:row>
    <x:row r="78" ht="54" customHeight="1">
      <x:c r="A78" s="78" t="str">
        <x:v>case-ec054f06a9fd020b</x:v>
      </x:c>
      <x:c r="B78" s="78" t="str">
        <x:v>zh</x:v>
      </x:c>
      <x:c r="C78" s="78" t="str">
        <x:v>uz</x:v>
      </x:c>
      <x:c r="D78" s="78" t="str">
        <x:v>出行</x:v>
      </x:c>
      <x:c r="E78" s="79" t="str">
        <x:v>我们有三个大人和一个孩子，需要两间房，住两晚。</x:v>
      </x:c>
      <x:c r="F78" s="79" t="str">
        <x:v>Bizda uchta katta va bir bola bor, bizga ikki xonali uy kerak bo'lib, ikki kecha yashaymiz.</x:v>
      </x:c>
      <x:c r="G78" s="80" t="str"/>
      <x:c r="H78" s="80" t="str"/>
      <x:c r="I78" s="79" t="str">
        <x:v>Bizda uchta katta va bir bola bor, biz ikki xonaliga muhtojmiz va ikki kecha yashaymiz.</x:v>
      </x:c>
      <x:c r="J78" s="80" t="str"/>
      <x:c r="K78" s="80" t="str"/>
      <x:c r="L78" s="80" t="str"/>
      <x:c r="M78" s="81" t="str"/>
      <x:c r="N78" s="82" t="str">
        <x:f>IF(F78=I78,"是","否")</x:f>
        <x:v>否</x:v>
      </x:c>
      <x:c r="O78" s="82" t="str">
        <x:f>IF(AND(G78&lt;&gt;"",J78&lt;&gt;""),"是","否")</x:f>
        <x:v>否</x:v>
      </x:c>
    </x:row>
    <x:row r="79" ht="54" customHeight="1">
      <x:c r="A79" s="78" t="str">
        <x:v>case-b91fd9d1eab96154</x:v>
      </x:c>
      <x:c r="B79" s="78" t="str">
        <x:v>uz</x:v>
      </x:c>
      <x:c r="C79" s="78" t="str">
        <x:v>en</x:v>
      </x:c>
      <x:c r="D79" s="78" t="str">
        <x:v>日常</x:v>
      </x:c>
      <x:c r="E79" s="79" t="str">
        <x:v>Bugun uchrasha olmayman, lekin ertaga tushlikdan keyin vaqtim bor.</x:v>
      </x:c>
      <x:c r="F79" s="79" t="str">
        <x:v>I can't meet today, but I have time after lunch tomorrow.</x:v>
      </x:c>
      <x:c r="G79" s="80" t="str"/>
      <x:c r="H79" s="80" t="str"/>
      <x:c r="I79" s="79" t="str">
        <x:v>I can't meet today, but I have time after lunch tomorrow.</x:v>
      </x:c>
      <x:c r="J79" s="80" t="str"/>
      <x:c r="K79" s="80" t="str"/>
      <x:c r="L79" s="80" t="str"/>
      <x:c r="M79" s="81" t="str"/>
      <x:c r="N79" s="82" t="str">
        <x:f>IF(F79=I79,"是","否")</x:f>
        <x:v>是</x:v>
      </x:c>
      <x:c r="O79" s="82" t="str">
        <x:f>IF(AND(G79&lt;&gt;"",J79&lt;&gt;""),"是","否")</x:f>
        <x:v>否</x:v>
      </x:c>
    </x:row>
    <x:row r="80" ht="54" customHeight="1">
      <x:c r="A80" s="78" t="str">
        <x:v>case-7ef8d79fe82fc817</x:v>
      </x:c>
      <x:c r="B80" s="78" t="str">
        <x:v>uz</x:v>
      </x:c>
      <x:c r="C80" s="78" t="str">
        <x:v>zh</x:v>
      </x:c>
      <x:c r="D80" s="78" t="str">
        <x:v>售后</x:v>
      </x:c>
      <x:c r="E80" s="79" t="str">
        <x:v>Qurilma quvvat olayotganda ishlaydi, ammo simni uzsam, darhol o'chadi.</x:v>
      </x:c>
      <x:c r="F80" s="79" t="str">
        <x:v>当电源充电时,设备会运行,但当我打断电线时,它会立即关闭.</x:v>
      </x:c>
      <x:c r="G80" s="80" t="str"/>
      <x:c r="H80" s="80" t="str"/>
      <x:c r="I80" s="79" t="str">
        <x:v>设备在接电时就会运行,但如果打断电线,就会立即关闭。</x:v>
      </x:c>
      <x:c r="J80" s="80" t="str"/>
      <x:c r="K80" s="80" t="str"/>
      <x:c r="L80" s="80" t="str"/>
      <x:c r="M80" s="81" t="str"/>
      <x:c r="N80" s="82" t="str">
        <x:f>IF(F80=I80,"是","否")</x:f>
        <x:v>否</x:v>
      </x:c>
      <x:c r="O80" s="82" t="str">
        <x:f>IF(AND(G80&lt;&gt;"",J80&lt;&gt;""),"是","否")</x:f>
        <x:v>否</x:v>
      </x:c>
    </x:row>
    <x:row r="81" ht="54" customHeight="1">
      <x:c r="A81" s="78" t="str">
        <x:v>case-bc6c7beec98ec3a4</x:v>
      </x:c>
      <x:c r="B81" s="78" t="str">
        <x:v>uz</x:v>
      </x:c>
      <x:c r="C81" s="78" t="str">
        <x:v>en</x:v>
      </x:c>
      <x:c r="D81" s="78" t="str">
        <x:v>出行</x:v>
      </x:c>
      <x:c r="E81" s="79" t="str">
        <x:v>Bizga bir kechaga ikkita alohida karavotli xona kerak.</x:v>
      </x:c>
      <x:c r="F81" s="79" t="str">
        <x:v>We need two separate locker rooms per night.</x:v>
      </x:c>
      <x:c r="G81" s="80" t="str"/>
      <x:c r="H81" s="80" t="str"/>
      <x:c r="I81" s="79" t="str">
        <x:v>We need two separate locker rooms per night.</x:v>
      </x:c>
      <x:c r="J81" s="80" t="str"/>
      <x:c r="K81" s="80" t="str"/>
      <x:c r="L81" s="80" t="str"/>
      <x:c r="M81" s="81" t="str"/>
      <x:c r="N81" s="82" t="str">
        <x:f>IF(F81=I81,"是","否")</x:f>
        <x:v>是</x:v>
      </x:c>
      <x:c r="O81" s="82" t="str">
        <x:f>IF(AND(G81&lt;&gt;"",J81&lt;&gt;""),"是","否")</x:f>
        <x:v>否</x:v>
      </x:c>
    </x:row>
    <x:row r="82" ht="54" customHeight="1">
      <x:c r="A82" s="78" t="str">
        <x:v>case-3fa2eaa0f0a9b516</x:v>
      </x:c>
      <x:c r="B82" s="78" t="str">
        <x:v>uz</x:v>
      </x:c>
      <x:c r="C82" s="78" t="str">
        <x:v>ru</x:v>
      </x:c>
      <x:c r="D82" s="78" t="str">
        <x:v>售后</x:v>
      </x:c>
      <x:c r="E82" s="79" t="str">
        <x:v>Qurilma quvvat olayotganda ishlaydi, ammo simni uzsam, darhol o'chadi.</x:v>
      </x:c>
      <x:c r="F82" s="79" t="str">
        <x:v>Устройство работает, когда набирает энергию, но если выключаю провод, оно выключается сразу.</x:v>
      </x:c>
      <x:c r="G82" s="80" t="str"/>
      <x:c r="H82" s="80" t="str"/>
      <x:c r="I82" s="79" t="str">
        <x:v>Устройство работает, когда получает электричество, но если выключить провод, оно выключается.</x:v>
      </x:c>
      <x:c r="J82" s="80" t="str"/>
      <x:c r="K82" s="80" t="str"/>
      <x:c r="L82" s="80" t="str"/>
      <x:c r="M82" s="81" t="str"/>
      <x:c r="N82" s="82" t="str">
        <x:f>IF(F82=I82,"是","否")</x:f>
        <x:v>否</x:v>
      </x:c>
      <x:c r="O82" s="82" t="str">
        <x:f>IF(AND(G82&lt;&gt;"",J82&lt;&gt;""),"是","否")</x:f>
        <x:v>否</x:v>
      </x:c>
    </x:row>
    <x:row r="83" ht="54" customHeight="1">
      <x:c r="A83" s="78" t="str">
        <x:v>case-9d49c100efa8e083</x:v>
      </x:c>
      <x:c r="B83" s="78" t="str">
        <x:v>zh</x:v>
      </x:c>
      <x:c r="C83" s="78" t="str">
        <x:v>uz</x:v>
      </x:c>
      <x:c r="D83" s="78" t="str">
        <x:v>售后</x:v>
      </x:c>
      <x:c r="E83" s="79" t="str">
        <x:v>我订的是蓝色大号，收到的却是黑色中号，请帮我换货。</x:v>
      </x:c>
      <x:c r="F83" s="79" t="str">
        <x:v>Men ko'k katta raqamni buyurtma qildim, lekin qora o'rta raqamni oldim, menga almashtirishga yordam bering.</x:v>
      </x:c>
      <x:c r="G83" s="80" t="str"/>
      <x:c r="H83" s="80" t="str"/>
      <x:c r="I83" s="79" t="str">
        <x:v>Men ko'k katta raqamni buyurtma qildim, lekin qora o'rta raqamni oldim, iltimos, menga almashtiring.</x:v>
      </x:c>
      <x:c r="J83" s="80" t="str"/>
      <x:c r="K83" s="80" t="str"/>
      <x:c r="L83" s="80" t="str"/>
      <x:c r="M83" s="81" t="str"/>
      <x:c r="N83" s="82" t="str">
        <x:f>IF(F83=I83,"是","否")</x:f>
        <x:v>否</x:v>
      </x:c>
      <x:c r="O83" s="82" t="str">
        <x:f>IF(AND(G83&lt;&gt;"",J83&lt;&gt;""),"是","否")</x:f>
        <x:v>否</x:v>
      </x:c>
    </x:row>
    <x:row r="84" ht="54" customHeight="1">
      <x:c r="A84" s="78" t="str">
        <x:v>case-310bfa597b7cafbd</x:v>
      </x:c>
      <x:c r="B84" s="78" t="str">
        <x:v>uz</x:v>
      </x:c>
      <x:c r="C84" s="78" t="str">
        <x:v>en</x:v>
      </x:c>
      <x:c r="D84" s="78" t="str">
        <x:v>售后</x:v>
      </x:c>
      <x:c r="E84" s="79" t="str">
        <x:v>Buyurtmamda uchta daftar bor edi, lekin faqat ikkitasi keldi.</x:v>
      </x:c>
      <x:c r="F84" s="79" t="str">
        <x:v>I had three books in my order, but only two came.</x:v>
      </x:c>
      <x:c r="G84" s="80" t="str"/>
      <x:c r="H84" s="80" t="str"/>
      <x:c r="I84" s="79" t="str">
        <x:v>I had three books in my order, but only two came.</x:v>
      </x:c>
      <x:c r="J84" s="80" t="str"/>
      <x:c r="K84" s="80" t="str"/>
      <x:c r="L84" s="80" t="str"/>
      <x:c r="M84" s="81" t="str"/>
      <x:c r="N84" s="82" t="str">
        <x:f>IF(F84=I84,"是","否")</x:f>
        <x:v>是</x:v>
      </x:c>
      <x:c r="O84" s="82" t="str">
        <x:f>IF(AND(G84&lt;&gt;"",J84&lt;&gt;""),"是","否")</x:f>
        <x:v>否</x:v>
      </x:c>
    </x:row>
    <x:row r="85" ht="54" customHeight="1">
      <x:c r="A85" s="78" t="str">
        <x:v>case-0e34805fcdc243d0</x:v>
      </x:c>
      <x:c r="B85" s="78" t="str">
        <x:v>en</x:v>
      </x:c>
      <x:c r="C85" s="78" t="str">
        <x:v>ru</x:v>
      </x:c>
      <x:c r="D85" s="78" t="str">
        <x:v>出行</x:v>
      </x:c>
      <x:c r="E85" s="79" t="str">
        <x:v>I'd like a return ticket for Tuesday, coming back on Thursday, with no reserved seat.</x:v>
      </x:c>
      <x:c r="F85" s="79" t="str">
        <x:v>Я бы хотел обратный билет на вторник, вернусь в четверг, без резервированного места.</x:v>
      </x:c>
      <x:c r="G85" s="80" t="str"/>
      <x:c r="H85" s="80" t="str"/>
      <x:c r="I85" s="79" t="str">
        <x:v>Я бы хотел обратный билет на вторник, вернусь в четверг, без резервированного места.</x:v>
      </x:c>
      <x:c r="J85" s="80" t="str"/>
      <x:c r="K85" s="80" t="str"/>
      <x:c r="L85" s="80" t="str"/>
      <x:c r="M85" s="81" t="str"/>
      <x:c r="N85" s="82" t="str">
        <x:f>IF(F85=I85,"是","否")</x:f>
        <x:v>是</x:v>
      </x:c>
      <x:c r="O85" s="82" t="str">
        <x:f>IF(AND(G85&lt;&gt;"",J85&lt;&gt;""),"是","否")</x:f>
        <x:v>否</x:v>
      </x:c>
    </x:row>
    <x:row r="86" ht="54" customHeight="1">
      <x:c r="A86" s="78" t="str">
        <x:v>case-6cd3ad8e0ba0033f</x:v>
      </x:c>
      <x:c r="B86" s="78" t="str">
        <x:v>ru</x:v>
      </x:c>
      <x:c r="C86" s="78" t="str">
        <x:v>en</x:v>
      </x:c>
      <x:c r="D86" s="78" t="str">
        <x:v>售后</x:v>
      </x:c>
      <x:c r="E86" s="79" t="str">
        <x:v>Я отменил только вторую доставку. Первую отменять не нужно.</x:v>
      </x:c>
      <x:c r="F86" s="79" t="str">
        <x:v>I canceled only the second delivery. No need to cancel the first one.</x:v>
      </x:c>
      <x:c r="G86" s="80" t="str"/>
      <x:c r="H86" s="80" t="str"/>
      <x:c r="I86" s="79" t="str">
        <x:v>I only canceled the second delivery. You don't have to cancel the first one.</x:v>
      </x:c>
      <x:c r="J86" s="80" t="str"/>
      <x:c r="K86" s="80" t="str"/>
      <x:c r="L86" s="80" t="str"/>
      <x:c r="M86" s="81" t="str"/>
      <x:c r="N86" s="82" t="str">
        <x:f>IF(F86=I86,"是","否")</x:f>
        <x:v>否</x:v>
      </x:c>
      <x:c r="O86" s="82" t="str">
        <x:f>IF(AND(G86&lt;&gt;"",J86&lt;&gt;""),"是","否")</x:f>
        <x:v>否</x:v>
      </x:c>
    </x:row>
    <x:row r="87" ht="54" customHeight="1">
      <x:c r="A87" s="78" t="str">
        <x:v>case-62dba8445eefb3af</x:v>
      </x:c>
      <x:c r="B87" s="78" t="str">
        <x:v>en</x:v>
      </x:c>
      <x:c r="C87" s="78" t="str">
        <x:v>zh</x:v>
      </x:c>
      <x:c r="D87" s="78" t="str">
        <x:v>售后</x:v>
      </x:c>
      <x:c r="E87" s="79" t="str">
        <x:v>I received two left shoes instead of a matching pair.</x:v>
      </x:c>
      <x:c r="F87" s="79" t="str">
        <x:v>我得到了两双左鞋,而不是一双匹配的鞋子。</x:v>
      </x:c>
      <x:c r="G87" s="80" t="str"/>
      <x:c r="H87" s="80" t="str"/>
      <x:c r="I87" s="79" t="str">
        <x:v>我得到了两双左鞋,而不是一双匹配的鞋子。</x:v>
      </x:c>
      <x:c r="J87" s="80" t="str"/>
      <x:c r="K87" s="80" t="str"/>
      <x:c r="L87" s="80" t="str"/>
      <x:c r="M87" s="81" t="str"/>
      <x:c r="N87" s="82" t="str">
        <x:f>IF(F87=I87,"是","否")</x:f>
        <x:v>是</x:v>
      </x:c>
      <x:c r="O87" s="82" t="str">
        <x:f>IF(AND(G87&lt;&gt;"",J87&lt;&gt;""),"是","否")</x:f>
        <x:v>否</x:v>
      </x:c>
    </x:row>
    <x:row r="88" ht="54" customHeight="1">
      <x:c r="A88" s="78" t="str">
        <x:v>case-d1356d417321a0df</x:v>
      </x:c>
      <x:c r="B88" s="78" t="str">
        <x:v>zh</x:v>
      </x:c>
      <x:c r="C88" s="78" t="str">
        <x:v>uz</x:v>
      </x:c>
      <x:c r="D88" s="78" t="str">
        <x:v>售后</x:v>
      </x:c>
      <x:c r="E88" s="79" t="str">
        <x:v>页面上写的是每包五百克，不是五百毫升，请确认标签是否贴错。</x:v>
      </x:c>
      <x:c r="F88" s="79" t="str">
        <x:v>Sahifaga har paketega besh yuz litr emas, besh yuz millilitr yoziladi. Iltimos, yorliqni noto'g'ri qo'yish yoki yo'qligini tasdiqlang.</x:v>
      </x:c>
      <x:c r="G88" s="80" t="str"/>
      <x:c r="H88" s="80" t="str"/>
      <x:c r="I88" s="79" t="str">
        <x:v>Veb-saytda har paketega besh yuz litr emas, besh yuz millilitr yozilgan. Iltimos, yorliqni noto'g'ri qo'yish yoki yo'qligini tasdiqlang.</x:v>
      </x:c>
      <x:c r="J88" s="80" t="str"/>
      <x:c r="K88" s="80" t="str"/>
      <x:c r="L88" s="80" t="str"/>
      <x:c r="M88" s="81" t="str"/>
      <x:c r="N88" s="82" t="str">
        <x:f>IF(F88=I88,"是","否")</x:f>
        <x:v>否</x:v>
      </x:c>
      <x:c r="O88" s="82" t="str">
        <x:f>IF(AND(G88&lt;&gt;"",J88&lt;&gt;""),"是","否")</x:f>
        <x:v>否</x:v>
      </x:c>
    </x:row>
    <x:row r="89" ht="54" customHeight="1">
      <x:c r="A89" s="78" t="str">
        <x:v>case-486e0148b1414b7d</x:v>
      </x:c>
      <x:c r="B89" s="78" t="str">
        <x:v>en</x:v>
      </x:c>
      <x:c r="C89" s="78" t="str">
        <x:v>ru</x:v>
      </x:c>
      <x:c r="D89" s="78" t="str">
        <x:v>日常</x:v>
      </x:c>
      <x:c r="E89" s="79" t="str">
        <x:v>Neither of us has booked a table yet, so could you call the restaurant?</x:v>
      </x:c>
      <x:c r="F89" s="79" t="str">
        <x:v>Ни один из нас еще не забронировал стол, так что могли бы вы позвонить в ресторан?</x:v>
      </x:c>
      <x:c r="G89" s="80" t="str"/>
      <x:c r="H89" s="80" t="str"/>
      <x:c r="I89" s="79" t="str">
        <x:v>Ни один из нас еще не забронировал стол, так что могли бы вы позвонить в ресторан?</x:v>
      </x:c>
      <x:c r="J89" s="80" t="str"/>
      <x:c r="K89" s="80" t="str"/>
      <x:c r="L89" s="80" t="str"/>
      <x:c r="M89" s="81" t="str"/>
      <x:c r="N89" s="82" t="str">
        <x:f>IF(F89=I89,"是","否")</x:f>
        <x:v>是</x:v>
      </x:c>
      <x:c r="O89" s="82" t="str">
        <x:f>IF(AND(G89&lt;&gt;"",J89&lt;&gt;""),"是","否")</x:f>
        <x:v>否</x:v>
      </x:c>
    </x:row>
    <x:row r="90" ht="54" customHeight="1">
      <x:c r="A90" s="78" t="str">
        <x:v>case-704eeaa4ef1dd461</x:v>
      </x:c>
      <x:c r="B90" s="78" t="str">
        <x:v>uz</x:v>
      </x:c>
      <x:c r="C90" s="78" t="str">
        <x:v>zh</x:v>
      </x:c>
      <x:c r="D90" s="78" t="str">
        <x:v>出行</x:v>
      </x:c>
      <x:c r="E90" s="79" t="str">
        <x:v>Samarqandga ketadigan poyezd qaysi yo'ldan jo'naydi? Chiptamda bu ma'lumot yo'q.</x:v>
      </x:c>
      <x:c r="F90" s="79" t="str">
        <x:v>往萨马兰德的火车从哪条路上发行?我的票上没有这些信息.</x:v>
      </x:c>
      <x:c r="G90" s="80" t="str"/>
      <x:c r="H90" s="80" t="str"/>
      <x:c r="I90" s="79" t="str">
        <x:v>往萨马尔坎德的火车由哪条路出发?我的票上没有此信息。</x:v>
      </x:c>
      <x:c r="J90" s="80" t="str"/>
      <x:c r="K90" s="80" t="str"/>
      <x:c r="L90" s="80" t="str"/>
      <x:c r="M90" s="81" t="str"/>
      <x:c r="N90" s="82" t="str">
        <x:f>IF(F90=I90,"是","否")</x:f>
        <x:v>否</x:v>
      </x:c>
      <x:c r="O90" s="82" t="str">
        <x:f>IF(AND(G90&lt;&gt;"",J90&lt;&gt;""),"是","否")</x:f>
        <x:v>否</x:v>
      </x:c>
    </x:row>
    <x:row r="91" ht="54" customHeight="1">
      <x:c r="A91" s="78" t="str">
        <x:v>case-bf33a5621bc4697c</x:v>
      </x:c>
      <x:c r="B91" s="78" t="str">
        <x:v>en</x:v>
      </x:c>
      <x:c r="C91" s="78" t="str">
        <x:v>zh</x:v>
      </x:c>
      <x:c r="D91" s="78" t="str">
        <x:v>售后</x:v>
      </x:c>
      <x:c r="E91" s="79" t="str">
        <x:v>The device turns on only while it's plugged in, even after charging overnight.</x:v>
      </x:c>
      <x:c r="F91" s="79" t="str">
        <x:v>设备只能在插电时启动,即使在一夜之间充电后也会如此。</x:v>
      </x:c>
      <x:c r="G91" s="80" t="str"/>
      <x:c r="H91" s="80" t="str"/>
      <x:c r="I91" s="79" t="str">
        <x:v>设备只能在插电时启动,即使在一夜里充电后也会如此。</x:v>
      </x:c>
      <x:c r="J91" s="80" t="str"/>
      <x:c r="K91" s="80" t="str"/>
      <x:c r="L91" s="80" t="str"/>
      <x:c r="M91" s="81" t="str"/>
      <x:c r="N91" s="82" t="str">
        <x:f>IF(F91=I91,"是","否")</x:f>
        <x:v>否</x:v>
      </x:c>
      <x:c r="O91" s="82" t="str">
        <x:f>IF(AND(G91&lt;&gt;"",J91&lt;&gt;""),"是","否")</x:f>
        <x:v>否</x:v>
      </x:c>
    </x:row>
    <x:row r="92" ht="54" customHeight="1">
      <x:c r="A92" s="78" t="str">
        <x:v>case-7a96e7819fca1a0c</x:v>
      </x:c>
      <x:c r="B92" s="78" t="str">
        <x:v>ru</x:v>
      </x:c>
      <x:c r="C92" s="78" t="str">
        <x:v>en</x:v>
      </x:c>
      <x:c r="D92" s="78" t="str">
        <x:v>工作学习</x:v>
      </x:c>
      <x:c r="E92" s="79" t="str">
        <x:v>Это предварительная оценка, а не окончательное решение. Не публикуйте её до согласования.</x:v>
      </x:c>
      <x:c r="F92" s="79" t="str">
        <x:v>This is a preliminary assessment, not a final decision. Do not publish it until agreed.</x:v>
      </x:c>
      <x:c r="G92" s="80" t="str"/>
      <x:c r="H92" s="80" t="str"/>
      <x:c r="I92" s="79" t="str">
        <x:v>This is a preliminary assessment, not a final decision. Don't publish it until you agree.</x:v>
      </x:c>
      <x:c r="J92" s="80" t="str"/>
      <x:c r="K92" s="80" t="str"/>
      <x:c r="L92" s="80" t="str"/>
      <x:c r="M92" s="81" t="str"/>
      <x:c r="N92" s="82" t="str">
        <x:f>IF(F92=I92,"是","否")</x:f>
        <x:v>否</x:v>
      </x:c>
      <x:c r="O92" s="82" t="str">
        <x:f>IF(AND(G92&lt;&gt;"",J92&lt;&gt;""),"是","否")</x:f>
        <x:v>否</x:v>
      </x:c>
    </x:row>
    <x:row r="93" ht="54" customHeight="1">
      <x:c r="A93" s="78" t="str">
        <x:v>case-5d3b86c937764548</x:v>
      </x:c>
      <x:c r="B93" s="78" t="str">
        <x:v>uz</x:v>
      </x:c>
      <x:c r="C93" s="78" t="str">
        <x:v>zh</x:v>
      </x:c>
      <x:c r="D93" s="78" t="str">
        <x:v>出行</x:v>
      </x:c>
      <x:c r="E93" s="79" t="str">
        <x:v>Haydovchiga ayting, bizni bozorning oldida emas, orqa tomonida kutib tursin.</x:v>
      </x:c>
      <x:c r="F93" s="79" t="str">
        <x:v>告诉司机不要在市场前面,要在后面等我们。</x:v>
      </x:c>
      <x:c r="G93" s="80" t="str"/>
      <x:c r="H93" s="80" t="str"/>
      <x:c r="I93" s="79" t="str">
        <x:v>告诉司机不要在市场前,要在市场后面等我们。</x:v>
      </x:c>
      <x:c r="J93" s="80" t="str"/>
      <x:c r="K93" s="80" t="str"/>
      <x:c r="L93" s="80" t="str"/>
      <x:c r="M93" s="81" t="str"/>
      <x:c r="N93" s="82" t="str">
        <x:f>IF(F93=I93,"是","否")</x:f>
        <x:v>否</x:v>
      </x:c>
      <x:c r="O93" s="82" t="str">
        <x:f>IF(AND(G93&lt;&gt;"",J93&lt;&gt;""),"是","否")</x:f>
        <x:v>否</x:v>
      </x:c>
    </x:row>
    <x:row r="94" ht="54" customHeight="1">
      <x:c r="A94" s="78" t="str">
        <x:v>case-20154e08a0f5442a</x:v>
      </x:c>
      <x:c r="B94" s="78" t="str">
        <x:v>en</x:v>
      </x:c>
      <x:c r="C94" s="78" t="str">
        <x:v>zh</x:v>
      </x:c>
      <x:c r="D94" s="78" t="str">
        <x:v>售后</x:v>
      </x:c>
      <x:c r="E94" s="79" t="str">
        <x:v>I don't want to return the whole set. Can you replace just the damaged lid?</x:v>
      </x:c>
      <x:c r="F94" s="79" t="str">
        <x:v>我不想返回整个套件,你能更换坏的盖吗?</x:v>
      </x:c>
      <x:c r="G94" s="80" t="str"/>
      <x:c r="H94" s="80" t="str"/>
      <x:c r="I94" s="79" t="str">
        <x:v>我不想把整个套装都返回。你只能取代坏的盖吗?</x:v>
      </x:c>
      <x:c r="J94" s="80" t="str"/>
      <x:c r="K94" s="80" t="str"/>
      <x:c r="L94" s="80" t="str"/>
      <x:c r="M94" s="81" t="str"/>
      <x:c r="N94" s="82" t="str">
        <x:f>IF(F94=I94,"是","否")</x:f>
        <x:v>否</x:v>
      </x:c>
      <x:c r="O94" s="82" t="str">
        <x:f>IF(AND(G94&lt;&gt;"",J94&lt;&gt;""),"是","否")</x:f>
        <x:v>否</x:v>
      </x:c>
    </x:row>
    <x:row r="95" ht="54" customHeight="1">
      <x:c r="A95" s="78" t="str">
        <x:v>case-1503e6cffe7f5e9c</x:v>
      </x:c>
      <x:c r="B95" s="78" t="str">
        <x:v>zh</x:v>
      </x:c>
      <x:c r="C95" s="78" t="str">
        <x:v>en</x:v>
      </x:c>
      <x:c r="D95" s="78" t="str">
        <x:v>售后</x:v>
      </x:c>
      <x:c r="E95" s="79" t="str">
        <x:v>屏幕没有裂，但右上角一直不响应触摸。</x:v>
      </x:c>
      <x:c r="F95" s="79" t="str">
        <x:v>The screen didn't crack, but the upper right corner didn't respond to touch.</x:v>
      </x:c>
      <x:c r="G95" s="80" t="str"/>
      <x:c r="H95" s="80" t="str"/>
      <x:c r="I95" s="79" t="str">
        <x:v>The screen was not cracked, but the upper right corner was not responsive to touch.</x:v>
      </x:c>
      <x:c r="J95" s="80" t="str"/>
      <x:c r="K95" s="80" t="str"/>
      <x:c r="L95" s="80" t="str"/>
      <x:c r="M95" s="81" t="str"/>
      <x:c r="N95" s="82" t="str">
        <x:f>IF(F95=I95,"是","否")</x:f>
        <x:v>否</x:v>
      </x:c>
      <x:c r="O95" s="82" t="str">
        <x:f>IF(AND(G95&lt;&gt;"",J95&lt;&gt;""),"是","否")</x:f>
        <x:v>否</x:v>
      </x:c>
    </x:row>
    <x:row r="96" ht="54" customHeight="1">
      <x:c r="A96" s="78" t="str">
        <x:v>case-3eb4c648f22f7ad7</x:v>
      </x:c>
      <x:c r="B96" s="78" t="str">
        <x:v>ru</x:v>
      </x:c>
      <x:c r="C96" s="78" t="str">
        <x:v>en</x:v>
      </x:c>
      <x:c r="D96" s="78" t="str">
        <x:v>日常</x:v>
      </x:c>
      <x:c r="E96" s="79" t="str">
        <x:v>Я не расслышал последнее слово. Не могли бы вы повторить только конец фразы?</x:v>
      </x:c>
      <x:c r="F96" s="79" t="str">
        <x:v>Could you repeat only the end of the sentence?</x:v>
      </x:c>
      <x:c r="G96" s="80" t="str"/>
      <x:c r="H96" s="80" t="str"/>
      <x:c r="I96" s="79" t="str">
        <x:v>I didn't hear the last word. Could you repeat only the end of the sentence?</x:v>
      </x:c>
      <x:c r="J96" s="80" t="str"/>
      <x:c r="K96" s="80" t="str"/>
      <x:c r="L96" s="80" t="str"/>
      <x:c r="M96" s="81" t="str"/>
      <x:c r="N96" s="82" t="str">
        <x:f>IF(F96=I96,"是","否")</x:f>
        <x:v>否</x:v>
      </x:c>
      <x:c r="O96" s="82" t="str">
        <x:f>IF(AND(G96&lt;&gt;"",J96&lt;&gt;""),"是","否")</x:f>
        <x:v>否</x:v>
      </x:c>
    </x:row>
    <x:row r="97" ht="54" customHeight="1">
      <x:c r="A97" s="78" t="str">
        <x:v>case-cabb0df4c4eea853</x:v>
      </x:c>
      <x:c r="B97" s="78" t="str">
        <x:v>uz</x:v>
      </x:c>
      <x:c r="C97" s="78" t="str">
        <x:v>en</x:v>
      </x:c>
      <x:c r="D97" s="78" t="str">
        <x:v>日常</x:v>
      </x:c>
      <x:c r="E97" s="79" t="str">
        <x:v>Iltimos, eshikni yopib qo'ying, ammo qulflamang. Ukam hali kelgani yo'q.</x:v>
      </x:c>
      <x:c r="F97" s="79" t="str">
        <x:v>Please close the door, but don't lock it. My brother hasn't come yet.</x:v>
      </x:c>
      <x:c r="G97" s="80" t="str"/>
      <x:c r="H97" s="80" t="str"/>
      <x:c r="I97" s="79" t="str">
        <x:v>Please close the door, but don't lock it. My brother hasn't come yet.</x:v>
      </x:c>
      <x:c r="J97" s="80" t="str"/>
      <x:c r="K97" s="80" t="str"/>
      <x:c r="L97" s="80" t="str"/>
      <x:c r="M97" s="81" t="str"/>
      <x:c r="N97" s="82" t="str">
        <x:f>IF(F97=I97,"是","否")</x:f>
        <x:v>是</x:v>
      </x:c>
      <x:c r="O97" s="82" t="str">
        <x:f>IF(AND(G97&lt;&gt;"",J97&lt;&gt;""),"是","否")</x:f>
        <x:v>否</x:v>
      </x:c>
    </x:row>
    <x:row r="98" ht="54" customHeight="1">
      <x:c r="A98" s="78" t="str">
        <x:v>case-6edcbb8572a8e83c</x:v>
      </x:c>
      <x:c r="B98" s="78" t="str">
        <x:v>ru</x:v>
      </x:c>
      <x:c r="C98" s="78" t="str">
        <x:v>uz</x:v>
      </x:c>
      <x:c r="D98" s="78" t="str">
        <x:v>日常</x:v>
      </x:c>
      <x:c r="E98" s="79" t="str">
        <x:v>Я смогу прийти не раньше семи. Если это поздно, давайте встретимся завтра.</x:v>
      </x:c>
      <x:c r="F98" s="79" t="str">
        <x:v>Men soat yettidan oldin kelishim mumkin. Agar kech bo'lsa, keling ertaga uchrasak.</x:v>
      </x:c>
      <x:c r="G98" s="80" t="str"/>
      <x:c r="H98" s="80" t="str"/>
      <x:c r="I98" s="79" t="str">
        <x:v>Men soat yettidan oldin kelishim mumkin. Agar kech bo'lsa, keling ertaga uchrasak.</x:v>
      </x:c>
      <x:c r="J98" s="80" t="str"/>
      <x:c r="K98" s="80" t="str"/>
      <x:c r="L98" s="80" t="str"/>
      <x:c r="M98" s="81" t="str"/>
      <x:c r="N98" s="82" t="str">
        <x:f>IF(F98=I98,"是","否")</x:f>
        <x:v>是</x:v>
      </x:c>
      <x:c r="O98" s="82" t="str">
        <x:f>IF(AND(G98&lt;&gt;"",J98&lt;&gt;""),"是","否")</x:f>
        <x:v>否</x:v>
      </x:c>
    </x:row>
    <x:row r="99" ht="54" customHeight="1">
      <x:c r="A99" s="78" t="str">
        <x:v>case-8bcfbc33888c93c1</x:v>
      </x:c>
      <x:c r="B99" s="78" t="str">
        <x:v>zh</x:v>
      </x:c>
      <x:c r="C99" s="78" t="str">
        <x:v>en</x:v>
      </x:c>
      <x:c r="D99" s="78" t="str">
        <x:v>工作学习</x:v>
      </x:c>
      <x:c r="E99" s="79" t="str">
        <x:v>请把每箱十二件改成每箱十件，总箱数保持不变。</x:v>
      </x:c>
      <x:c r="F99" s="79" t="str">
        <x:v>Please convert twelve boxes into ten boxes, keeping the total number of boxes unchanged.</x:v>
      </x:c>
      <x:c r="G99" s="80" t="str"/>
      <x:c r="H99" s="80" t="str"/>
      <x:c r="I99" s="79" t="str">
        <x:v>Please convert twelve boxes into ten boxes, and the total number of boxes remains the same.</x:v>
      </x:c>
      <x:c r="J99" s="80" t="str"/>
      <x:c r="K99" s="80" t="str"/>
      <x:c r="L99" s="80" t="str"/>
      <x:c r="M99" s="81" t="str"/>
      <x:c r="N99" s="82" t="str">
        <x:f>IF(F99=I99,"是","否")</x:f>
        <x:v>否</x:v>
      </x:c>
      <x:c r="O99" s="82" t="str">
        <x:f>IF(AND(G99&lt;&gt;"",J99&lt;&gt;""),"是","否")</x:f>
        <x:v>否</x:v>
      </x:c>
    </x:row>
    <x:row r="100" ht="54" customHeight="1">
      <x:c r="A100" s="78" t="str">
        <x:v>case-fdbc23c9d7159eb5</x:v>
      </x:c>
      <x:c r="B100" s="78" t="str">
        <x:v>zh</x:v>
      </x:c>
      <x:c r="C100" s="78" t="str">
        <x:v>ru</x:v>
      </x:c>
      <x:c r="D100" s="78" t="str">
        <x:v>工作学习</x:v>
      </x:c>
      <x:c r="E100" s="79" t="str">
        <x:v>请在提交报告之前核对附件中的数字，正文暂时不用修改。</x:v>
      </x:c>
      <x:c r="F100" s="79" t="str">
        <x:v>Пожалуйста, проверьте цифры в приложениях, прежде чем представить отчет, и оригинальное письмо временно не должно быть изменено.</x:v>
      </x:c>
      <x:c r="G100" s="80" t="str"/>
      <x:c r="H100" s="80" t="str"/>
      <x:c r="I100" s="79" t="str">
        <x:v>Перед подачей отчёта проверьте цифры приложения, а оригинальный текст временно не нуждается в изменениях.</x:v>
      </x:c>
      <x:c r="J100" s="80" t="str"/>
      <x:c r="K100" s="80" t="str"/>
      <x:c r="L100" s="80" t="str"/>
      <x:c r="M100" s="81" t="str"/>
      <x:c r="N100" s="82" t="str">
        <x:f>IF(F100=I100,"是","否")</x:f>
        <x:v>否</x:v>
      </x:c>
      <x:c r="O100" s="82" t="str">
        <x:f>IF(AND(G100&lt;&gt;"",J100&lt;&gt;""),"是","否")</x:f>
        <x:v>否</x:v>
      </x:c>
    </x:row>
    <x:row r="101" ht="54" customHeight="1">
      <x:c r="A101" s="78" t="str">
        <x:v>case-e58f0ce11203d363</x:v>
      </x:c>
      <x:c r="B101" s="78" t="str">
        <x:v>ru</x:v>
      </x:c>
      <x:c r="C101" s="78" t="str">
        <x:v>uz</x:v>
      </x:c>
      <x:c r="D101" s="78" t="str">
        <x:v>日常</x:v>
      </x:c>
      <x:c r="E101" s="79" t="str">
        <x:v>Пожалуйста, оставьте окно приоткрытым, но выключите свет.</x:v>
      </x:c>
      <x:c r="F101" s="79" t="str">
        <x:v>Iltimos oynani ochiq qoldiring, ammo yorug'likni o'chiring.</x:v>
      </x:c>
      <x:c r="G101" s="80" t="str"/>
      <x:c r="H101" s="80" t="str"/>
      <x:c r="I101" s="79" t="str">
        <x:v>Iltimos, oynani ochiq qoldiring, ammo chiroqni o'chiring.</x:v>
      </x:c>
      <x:c r="J101" s="80" t="str"/>
      <x:c r="K101" s="80" t="str"/>
      <x:c r="L101" s="80" t="str"/>
      <x:c r="M101" s="81" t="str"/>
      <x:c r="N101" s="82" t="str">
        <x:f>IF(F101=I101,"是","否")</x:f>
        <x:v>否</x:v>
      </x:c>
      <x:c r="O101" s="82" t="str">
        <x:f>IF(AND(G101&lt;&gt;"",J101&lt;&gt;""),"是","否")</x:f>
        <x:v>否</x:v>
      </x:c>
    </x:row>
    <x:row r="102" ht="54" customHeight="1">
      <x:c r="A102" s="78" t="str">
        <x:v>case-226ffaf70b27cc34</x:v>
      </x:c>
      <x:c r="B102" s="78" t="str">
        <x:v>ru</x:v>
      </x:c>
      <x:c r="C102" s="78" t="str">
        <x:v>zh</x:v>
      </x:c>
      <x:c r="D102" s="78" t="str">
        <x:v>工作学习</x:v>
      </x:c>
      <x:c r="E102" s="79" t="str">
        <x:v>Сначала отключите питание, затем отсоедините кабель. Не меняйте порядок действий.</x:v>
      </x:c>
      <x:c r="F102" s="79" t="str">
        <x:v>首先关闭电源,然后切断电缆。 保持行动顺序。</x:v>
      </x:c>
      <x:c r="G102" s="80" t="str"/>
      <x:c r="H102" s="80" t="str"/>
      <x:c r="I102" s="79" t="str">
        <x:v>首先切断电源,然后切断电缆。 保持行动顺序。</x:v>
      </x:c>
      <x:c r="J102" s="80" t="str"/>
      <x:c r="K102" s="80" t="str"/>
      <x:c r="L102" s="80" t="str"/>
      <x:c r="M102" s="81" t="str"/>
      <x:c r="N102" s="82" t="str">
        <x:f>IF(F102=I102,"是","否")</x:f>
        <x:v>否</x:v>
      </x:c>
      <x:c r="O102" s="82" t="str">
        <x:f>IF(AND(G102&lt;&gt;"",J102&lt;&gt;""),"是","否")</x:f>
        <x:v>否</x:v>
      </x:c>
    </x:row>
    <x:row r="103" ht="54" customHeight="1">
      <x:c r="A103" s="78" t="str">
        <x:v>case-e7998c701d75fa35</x:v>
      </x:c>
      <x:c r="B103" s="78" t="str">
        <x:v>zh</x:v>
      </x:c>
      <x:c r="C103" s="78" t="str">
        <x:v>ru</x:v>
      </x:c>
      <x:c r="D103" s="78" t="str">
        <x:v>出行</x:v>
      </x:c>
      <x:c r="E103" s="79" t="str">
        <x:v>请把周四下午两点的预约改到周五上午十点，不要取消预约。</x:v>
      </x:c>
      <x:c r="F103" s="79" t="str">
        <x:v>Пожалуйста, не отменяйте встречу в четверг в два часа дня до пятницы в десять утра.</x:v>
      </x:c>
      <x:c r="G103" s="80" t="str"/>
      <x:c r="H103" s="80" t="str"/>
      <x:c r="I103" s="79" t="str">
        <x:v>Пожалуйста, не отменяйте встречу в четверг в два часа дня до пятницы в десять утра.</x:v>
      </x:c>
      <x:c r="J103" s="80" t="str"/>
      <x:c r="K103" s="80" t="str"/>
      <x:c r="L103" s="80" t="str"/>
      <x:c r="M103" s="81" t="str"/>
      <x:c r="N103" s="82" t="str">
        <x:f>IF(F103=I103,"是","否")</x:f>
        <x:v>是</x:v>
      </x:c>
      <x:c r="O103" s="82" t="str">
        <x:f>IF(AND(G103&lt;&gt;"",J103&lt;&gt;""),"是","否")</x:f>
        <x:v>否</x:v>
      </x:c>
    </x:row>
    <x:row r="104" ht="54" customHeight="1">
      <x:c r="A104" s="78" t="str">
        <x:v>case-ce18b905bd995176</x:v>
      </x:c>
      <x:c r="B104" s="78" t="str">
        <x:v>uz</x:v>
      </x:c>
      <x:c r="C104" s="78" t="str">
        <x:v>zh</x:v>
      </x:c>
      <x:c r="D104" s="78" t="str">
        <x:v>日常</x:v>
      </x:c>
      <x:c r="E104" s="79" t="str">
        <x:v>Dilshod kitobni menga emas, Nodiraga bergan. Kitobni undan so'rang.</x:v>
      </x:c>
      <x:c r="F104" s="79" t="str">
        <x:v>迪尔沙德把书给了纳迪拉,而不是我。请问他。</x:v>
      </x:c>
      <x:c r="G104" s="80" t="str"/>
      <x:c r="H104" s="80" t="str"/>
      <x:c r="I104" s="79" t="str">
        <x:v>迪尔沙德把这本书给了纳迪拉,而不是我。请问他。</x:v>
      </x:c>
      <x:c r="J104" s="80" t="str"/>
      <x:c r="K104" s="80" t="str"/>
      <x:c r="L104" s="80" t="str"/>
      <x:c r="M104" s="81" t="str"/>
      <x:c r="N104" s="82" t="str">
        <x:f>IF(F104=I104,"是","否")</x:f>
        <x:v>否</x:v>
      </x:c>
      <x:c r="O104" s="82" t="str">
        <x:f>IF(AND(G104&lt;&gt;"",J104&lt;&gt;""),"是","否")</x:f>
        <x:v>否</x:v>
      </x:c>
    </x:row>
    <x:row r="105" ht="54" customHeight="1">
      <x:c r="A105" s="78" t="str">
        <x:v>case-ad78c0c72e1d2ef2</x:v>
      </x:c>
      <x:c r="B105" s="78" t="str">
        <x:v>ru</x:v>
      </x:c>
      <x:c r="C105" s="78" t="str">
        <x:v>en</x:v>
      </x:c>
      <x:c r="D105" s="78" t="str">
        <x:v>出行</x:v>
      </x:c>
      <x:c r="E105" s="79" t="str">
        <x:v>Мы забронировали номер на две ночи, с пятницы по воскресенье. Завтрак включён?</x:v>
      </x:c>
      <x:c r="F105" s="79" t="str">
        <x:v>We've booked a room for two nights, Friday through Sunday. Breakfast on?</x:v>
      </x:c>
      <x:c r="G105" s="80" t="str"/>
      <x:c r="H105" s="80" t="str"/>
      <x:c r="I105" s="79" t="str">
        <x:v>We booked a room for two nights, from Friday to Sunday. Breakfast included?</x:v>
      </x:c>
      <x:c r="J105" s="80" t="str"/>
      <x:c r="K105" s="80" t="str"/>
      <x:c r="L105" s="80" t="str"/>
      <x:c r="M105" s="81" t="str"/>
      <x:c r="N105" s="82" t="str">
        <x:f>IF(F105=I105,"是","否")</x:f>
        <x:v>否</x:v>
      </x:c>
      <x:c r="O105" s="82" t="str">
        <x:f>IF(AND(G105&lt;&gt;"",J105&lt;&gt;""),"是","否")</x:f>
        <x:v>否</x:v>
      </x:c>
    </x:row>
    <x:row r="106" ht="54" customHeight="1">
      <x:c r="A106" s="78" t="str">
        <x:v>case-799ab2ee431889ed</x:v>
      </x:c>
      <x:c r="B106" s="78" t="str">
        <x:v>en</x:v>
      </x:c>
      <x:c r="C106" s="78" t="str">
        <x:v>zh</x:v>
      </x:c>
      <x:c r="D106" s="78" t="str">
        <x:v>日常</x:v>
      </x:c>
      <x:c r="E106" s="79" t="str">
        <x:v>I can lend you the umbrella, but please bring it back before I leave tomorrow morning.</x:v>
      </x:c>
      <x:c r="F106" s="79" t="str">
        <x:v>我可以借给你雨,但请在我明天早上出发前把它带回来。</x:v>
      </x:c>
      <x:c r="G106" s="80" t="str"/>
      <x:c r="H106" s="80" t="str"/>
      <x:c r="I106" s="79" t="str">
        <x:v>我可以借给你雨,但请在我明天早上离开之前带回它。</x:v>
      </x:c>
      <x:c r="J106" s="80" t="str"/>
      <x:c r="K106" s="80" t="str"/>
      <x:c r="L106" s="80" t="str"/>
      <x:c r="M106" s="81" t="str"/>
      <x:c r="N106" s="82" t="str">
        <x:f>IF(F106=I106,"是","否")</x:f>
        <x:v>否</x:v>
      </x:c>
      <x:c r="O106" s="82" t="str">
        <x:f>IF(AND(G106&lt;&gt;"",J106&lt;&gt;""),"是","否")</x:f>
        <x:v>否</x:v>
      </x:c>
    </x:row>
    <x:row r="107" ht="54" customHeight="1">
      <x:c r="A107" s="78" t="str">
        <x:v>case-ee60fcddcdc64c8d</x:v>
      </x:c>
      <x:c r="B107" s="78" t="str">
        <x:v>uz</x:v>
      </x:c>
      <x:c r="C107" s="78" t="str">
        <x:v>zh</x:v>
      </x:c>
      <x:c r="D107" s="78" t="str">
        <x:v>日常</x:v>
      </x:c>
      <x:c r="E107" s="79" t="str">
        <x:v>Choyga limon soling, shakar esa kerak emas.</x:v>
      </x:c>
      <x:c r="F107" s="79" t="str">
        <x:v>把子放入茶里,不用糖。</x:v>
      </x:c>
      <x:c r="G107" s="80" t="str"/>
      <x:c r="H107" s="80" t="str"/>
      <x:c r="I107" s="79" t="str">
        <x:v>把子放入茶里,无需糖。</x:v>
      </x:c>
      <x:c r="J107" s="80" t="str"/>
      <x:c r="K107" s="80" t="str"/>
      <x:c r="L107" s="80" t="str"/>
      <x:c r="M107" s="81" t="str"/>
      <x:c r="N107" s="82" t="str">
        <x:f>IF(F107=I107,"是","否")</x:f>
        <x:v>否</x:v>
      </x:c>
      <x:c r="O107" s="82" t="str">
        <x:f>IF(AND(G107&lt;&gt;"",J107&lt;&gt;""),"是","否")</x:f>
        <x:v>否</x:v>
      </x:c>
    </x:row>
    <x:row r="108" ht="54" customHeight="1">
      <x:c r="A108" s="78" t="str">
        <x:v>case-5889db62770eef7c</x:v>
      </x:c>
      <x:c r="B108" s="78" t="str">
        <x:v>ru</x:v>
      </x:c>
      <x:c r="C108" s="78" t="str">
        <x:v>uz</x:v>
      </x:c>
      <x:c r="D108" s="78" t="str">
        <x:v>出行</x:v>
      </x:c>
      <x:c r="E108" s="79" t="str">
        <x:v>У меня только ручная кладь. Нужно ли всё равно стоять в очереди на сдачу багажа?</x:v>
      </x:c>
      <x:c r="F108" s="79" t="str">
        <x:v>Mening qo'limda faqat qo'l-qo'l yukim bor. Men yana yukni berish uchun navbatda turishim kerakmi?</x:v>
      </x:c>
      <x:c r="G108" s="80" t="str"/>
      <x:c r="H108" s="80" t="str"/>
      <x:c r="I108" s="79" t="str">
        <x:v>Mening qo'limda faqat qo'l-qo'l yuklarim bor. Yo'q, men uni olib ketish uchun navbatda turishim kerakmi?</x:v>
      </x:c>
      <x:c r="J108" s="80" t="str"/>
      <x:c r="K108" s="80" t="str"/>
      <x:c r="L108" s="80" t="str"/>
      <x:c r="M108" s="81" t="str"/>
      <x:c r="N108" s="82" t="str">
        <x:f>IF(F108=I108,"是","否")</x:f>
        <x:v>否</x:v>
      </x:c>
      <x:c r="O108" s="82" t="str">
        <x:f>IF(AND(G108&lt;&gt;"",J108&lt;&gt;""),"是","否")</x:f>
        <x:v>否</x:v>
      </x:c>
    </x:row>
    <x:row r="109" ht="54" customHeight="1">
      <x:c r="A109" s="78" t="str">
        <x:v>case-9a22459c60e0456f</x:v>
      </x:c>
      <x:c r="B109" s="78" t="str">
        <x:v>zh</x:v>
      </x:c>
      <x:c r="C109" s="78" t="str">
        <x:v>uz</x:v>
      </x:c>
      <x:c r="D109" s="78" t="str">
        <x:v>工作学习</x:v>
      </x:c>
      <x:c r="E109" s="79" t="str">
        <x:v>请把每箱十二件改成每箱十件，总箱数保持不变。</x:v>
      </x:c>
      <x:c r="F109" s="79" t="str">
        <x:v>Har bir quti 12 ta bo'lib, har bir quti 10 ta bo'lib o'zgartirilsin, jami qutilar soni o'zgarmasin.</x:v>
      </x:c>
      <x:c r="G109" s="80" t="str"/>
      <x:c r="H109" s="80" t="str"/>
      <x:c r="I109" s="79" t="str">
        <x:v>Har bir kutubdan o'n kishini har bir kutubga aylantiring, jami kutublar soni o'zgarmasin.</x:v>
      </x:c>
      <x:c r="J109" s="80" t="str"/>
      <x:c r="K109" s="80" t="str"/>
      <x:c r="L109" s="80" t="str"/>
      <x:c r="M109" s="81" t="str"/>
      <x:c r="N109" s="82" t="str">
        <x:f>IF(F109=I109,"是","否")</x:f>
        <x:v>否</x:v>
      </x:c>
      <x:c r="O109" s="82" t="str">
        <x:f>IF(AND(G109&lt;&gt;"",J109&lt;&gt;""),"是","否")</x:f>
        <x:v>否</x:v>
      </x:c>
    </x:row>
    <x:row r="110" ht="54" customHeight="1">
      <x:c r="A110" s="78" t="str">
        <x:v>case-47fa8f708e294012</x:v>
      </x:c>
      <x:c r="B110" s="78" t="str">
        <x:v>ru</x:v>
      </x:c>
      <x:c r="C110" s="78" t="str">
        <x:v>zh</x:v>
      </x:c>
      <x:c r="D110" s="78" t="str">
        <x:v>出行</x:v>
      </x:c>
      <x:c r="E110" s="79" t="str">
        <x:v>Мы забронировали номер на две ночи, с пятницы по воскресенье. Завтрак включён?</x:v>
      </x:c>
      <x:c r="F110" s="79" t="str">
        <x:v>星期五到星期日,我们预订咗两晚间房间。早餐开放吗?</x:v>
      </x:c>
      <x:c r="G110" s="80" t="str"/>
      <x:c r="H110" s="80" t="str"/>
      <x:c r="I110" s="79" t="str">
        <x:v>我们预订了两晚的房间,从星期五到星期日。早餐开放吗?</x:v>
      </x:c>
      <x:c r="J110" s="80" t="str"/>
      <x:c r="K110" s="80" t="str"/>
      <x:c r="L110" s="80" t="str"/>
      <x:c r="M110" s="81" t="str"/>
      <x:c r="N110" s="82" t="str">
        <x:f>IF(F110=I110,"是","否")</x:f>
        <x:v>否</x:v>
      </x:c>
      <x:c r="O110" s="82" t="str">
        <x:f>IF(AND(G110&lt;&gt;"",J110&lt;&gt;""),"是","否")</x:f>
        <x:v>否</x:v>
      </x:c>
    </x:row>
    <x:row r="111" ht="54" customHeight="1">
      <x:c r="A111" s="78" t="str">
        <x:v>case-0ec1621d548d7c9e</x:v>
      </x:c>
      <x:c r="B111" s="78" t="str">
        <x:v>en</x:v>
      </x:c>
      <x:c r="C111" s="78" t="str">
        <x:v>ru</x:v>
      </x:c>
      <x:c r="D111" s="78" t="str">
        <x:v>出行</x:v>
      </x:c>
      <x:c r="E111" s="79" t="str">
        <x:v>Does this bus stop near the museum, or will I need to change at the station?</x:v>
      </x:c>
      <x:c r="F111" s="79" t="str">
        <x:v>Этот автобус останавливается рядом с музеем или мне придется переодеться на станции?</x:v>
      </x:c>
      <x:c r="G111" s="80" t="str"/>
      <x:c r="H111" s="80" t="str"/>
      <x:c r="I111" s="79" t="str">
        <x:v>Этот автобус останавливается недалеко от музея или мне придётся переодеться на вокзале?</x:v>
      </x:c>
      <x:c r="J111" s="80" t="str"/>
      <x:c r="K111" s="80" t="str"/>
      <x:c r="L111" s="80" t="str"/>
      <x:c r="M111" s="81" t="str"/>
      <x:c r="N111" s="82" t="str">
        <x:f>IF(F111=I111,"是","否")</x:f>
        <x:v>否</x:v>
      </x:c>
      <x:c r="O111" s="82" t="str">
        <x:f>IF(AND(G111&lt;&gt;"",J111&lt;&gt;""),"是","否")</x:f>
        <x:v>否</x:v>
      </x:c>
    </x:row>
    <x:row r="112" ht="54" customHeight="1">
      <x:c r="A112" s="78" t="str">
        <x:v>case-55b41c75ba44aab6</x:v>
      </x:c>
      <x:c r="B112" s="78" t="str">
        <x:v>ru</x:v>
      </x:c>
      <x:c r="C112" s="78" t="str">
        <x:v>uz</x:v>
      </x:c>
      <x:c r="D112" s="78" t="str">
        <x:v>工作学习</x:v>
      </x:c>
      <x:c r="E112" s="79" t="str">
        <x:v>Срок сдачи перенесли с понедельника на среду, но время осталось прежним — 18:00.</x:v>
      </x:c>
      <x:c r="F112" s="79" t="str">
        <x:v>Ishga tushirish muddati dushanbadan chorshaga ko'chirildi, ammo soat 18:00 o'zgarmadi.</x:v>
      </x:c>
      <x:c r="G112" s="80" t="str"/>
      <x:c r="H112" s="80" t="str"/>
      <x:c r="I112" s="79" t="str">
        <x:v>Ishga tushirish muddati dushanbadan chorshaga ko'chirildi, biroq vaqt o'zgarmadi: soat 18:00.</x:v>
      </x:c>
      <x:c r="J112" s="80" t="str"/>
      <x:c r="K112" s="80" t="str"/>
      <x:c r="L112" s="80" t="str"/>
      <x:c r="M112" s="81" t="str"/>
      <x:c r="N112" s="82" t="str">
        <x:f>IF(F112=I112,"是","否")</x:f>
        <x:v>否</x:v>
      </x:c>
      <x:c r="O112" s="82" t="str">
        <x:f>IF(AND(G112&lt;&gt;"",J112&lt;&gt;""),"是","否")</x:f>
        <x:v>否</x:v>
      </x:c>
    </x:row>
    <x:row r="113" ht="54" customHeight="1">
      <x:c r="A113" s="78" t="str">
        <x:v>case-1ee8874fa9a5694a</x:v>
      </x:c>
      <x:c r="B113" s="78" t="str">
        <x:v>ru</x:v>
      </x:c>
      <x:c r="C113" s="78" t="str">
        <x:v>en</x:v>
      </x:c>
      <x:c r="D113" s="78" t="str">
        <x:v>日常</x:v>
      </x:c>
      <x:c r="E113" s="79" t="str">
        <x:v>Мне нужен не горячий, а тёплый чай, без сахара.</x:v>
      </x:c>
      <x:c r="F113" s="79" t="str">
        <x:v>I want warm tea, not hot, without sugar.</x:v>
      </x:c>
      <x:c r="G113" s="80" t="str"/>
      <x:c r="H113" s="80" t="str"/>
      <x:c r="I113" s="79" t="str">
        <x:v>I want warm, sugar-free tea, not hot tea.</x:v>
      </x:c>
      <x:c r="J113" s="80" t="str"/>
      <x:c r="K113" s="80" t="str"/>
      <x:c r="L113" s="80" t="str"/>
      <x:c r="M113" s="81" t="str"/>
      <x:c r="N113" s="82" t="str">
        <x:f>IF(F113=I113,"是","否")</x:f>
        <x:v>否</x:v>
      </x:c>
      <x:c r="O113" s="82" t="str">
        <x:f>IF(AND(G113&lt;&gt;"",J113&lt;&gt;""),"是","否")</x:f>
        <x:v>否</x:v>
      </x:c>
    </x:row>
    <x:row r="114" ht="54" customHeight="1">
      <x:c r="A114" s="78" t="str">
        <x:v>case-ea62a97bdd02c138</x:v>
      </x:c>
      <x:c r="B114" s="78" t="str">
        <x:v>zh</x:v>
      </x:c>
      <x:c r="C114" s="78" t="str">
        <x:v>uz</x:v>
      </x:c>
      <x:c r="D114" s="78" t="str">
        <x:v>出行</x:v>
      </x:c>
      <x:c r="E114" s="79" t="str">
        <x:v>这张票只能在今天使用，明天乘车需要另外买票。</x:v>
      </x:c>
      <x:c r="F114" s="79" t="str">
        <x:v>Ushbu chipta faqat bugun ishlatilishi mumkin, ertaga avtomobilda qo'shimcha chipta sotib olish kerak bo'ladi.</x:v>
      </x:c>
      <x:c r="G114" s="80" t="str"/>
      <x:c r="H114" s="80" t="str"/>
      <x:c r="I114" s="79" t="str">
        <x:v>Ushbu chipta faqat bugun ishlatilishi mumkin, ertaga avtomobilda yana bir chipta sotib olishingiz kerak.</x:v>
      </x:c>
      <x:c r="J114" s="80" t="str"/>
      <x:c r="K114" s="80" t="str"/>
      <x:c r="L114" s="80" t="str"/>
      <x:c r="M114" s="81" t="str"/>
      <x:c r="N114" s="82" t="str">
        <x:f>IF(F114=I114,"是","否")</x:f>
        <x:v>否</x:v>
      </x:c>
      <x:c r="O114" s="82" t="str">
        <x:f>IF(AND(G114&lt;&gt;"",J114&lt;&gt;""),"是","否")</x:f>
        <x:v>否</x:v>
      </x:c>
    </x:row>
    <x:row r="115" ht="54" customHeight="1">
      <x:c r="A115" s="78" t="str">
        <x:v>case-2c23af98f4d11cd8</x:v>
      </x:c>
      <x:c r="B115" s="78" t="str">
        <x:v>ru</x:v>
      </x:c>
      <x:c r="C115" s="78" t="str">
        <x:v>uz</x:v>
      </x:c>
      <x:c r="D115" s="78" t="str">
        <x:v>售后</x:v>
      </x:c>
      <x:c r="E115" s="79" t="str">
        <x:v>Если замены нет в наличии, верните деньги, пожалуйста, но не отправляйте другую модель без моего согласия.</x:v>
      </x:c>
      <x:c r="F115" s="79" t="str">
        <x:v>Agar almashtiruvchilar mavjud bo'lmasa, iltimos pulni qaytarib bering, lekin mening roziligimsiz boshqa modelni yubormang.</x:v>
      </x:c>
      <x:c r="G115" s="80" t="str"/>
      <x:c r="H115" s="80" t="str"/>
      <x:c r="I115" s="79" t="str">
        <x:v>Agar almashtiruvchilar mavjud bo'lmasa, iltimos pulni qaytarib bering, lekin mening roziligimsiz boshqa modelni yubormang.</x:v>
      </x:c>
      <x:c r="J115" s="80" t="str"/>
      <x:c r="K115" s="80" t="str"/>
      <x:c r="L115" s="80" t="str"/>
      <x:c r="M115" s="81" t="str"/>
      <x:c r="N115" s="82" t="str">
        <x:f>IF(F115=I115,"是","否")</x:f>
        <x:v>是</x:v>
      </x:c>
      <x:c r="O115" s="82" t="str">
        <x:f>IF(AND(G115&lt;&gt;"",J115&lt;&gt;""),"是","否")</x:f>
        <x:v>否</x:v>
      </x:c>
    </x:row>
    <x:row r="116" ht="54" customHeight="1">
      <x:c r="A116" s="78" t="str">
        <x:v>case-7b0f0ca7fead5cc7</x:v>
      </x:c>
      <x:c r="B116" s="78" t="str">
        <x:v>en</x:v>
      </x:c>
      <x:c r="C116" s="78" t="str">
        <x:v>uz</x:v>
      </x:c>
      <x:c r="D116" s="78" t="str">
        <x:v>出行</x:v>
      </x:c>
      <x:c r="E116" s="79" t="str">
        <x:v>Does this bus stop near the museum, or will I need to change at the station?</x:v>
      </x:c>
      <x:c r="F116" s="79" t="str">
        <x:v>Bu avtobus muzey yaqinida to'xtatadimi yoki men stansiyada o'zgarishim kerakmi?</x:v>
      </x:c>
      <x:c r="G116" s="80" t="str"/>
      <x:c r="H116" s="80" t="str"/>
      <x:c r="I116" s="79" t="str">
        <x:v>Bu avtobus muzey yaqinida to'xtatadimi yoki men stansiyada o'zgarishim kerakmi?</x:v>
      </x:c>
      <x:c r="J116" s="80" t="str"/>
      <x:c r="K116" s="80" t="str"/>
      <x:c r="L116" s="80" t="str"/>
      <x:c r="M116" s="81" t="str"/>
      <x:c r="N116" s="82" t="str">
        <x:f>IF(F116=I116,"是","否")</x:f>
        <x:v>是</x:v>
      </x:c>
      <x:c r="O116" s="82" t="str">
        <x:f>IF(AND(G116&lt;&gt;"",J116&lt;&gt;""),"是","否")</x:f>
        <x:v>否</x:v>
      </x:c>
    </x:row>
    <x:row r="117" ht="54" customHeight="1">
      <x:c r="A117" s="78" t="str">
        <x:v>case-74a571634495b80d</x:v>
      </x:c>
      <x:c r="B117" s="78" t="str">
        <x:v>uz</x:v>
      </x:c>
      <x:c r="C117" s="78" t="str">
        <x:v>zh</x:v>
      </x:c>
      <x:c r="D117" s="78" t="str">
        <x:v>出行</x:v>
      </x:c>
      <x:c r="E117" s="79" t="str">
        <x:v>Men Toshkentga bormoqchiman, Toshkentdan ketmoqchi emasman. Iltimos, chiptani tekshiring.</x:v>
      </x:c>
      <x:c r="F117" s="79" t="str">
        <x:v>我要去塔什干,不想离开塔什干。请检查票。</x:v>
      </x:c>
      <x:c r="G117" s="80" t="str"/>
      <x:c r="H117" s="80" t="str"/>
      <x:c r="I117" s="79" t="str">
        <x:v>我想去塔什干,我不想离开塔什干.请检查票.</x:v>
      </x:c>
      <x:c r="J117" s="80" t="str"/>
      <x:c r="K117" s="80" t="str"/>
      <x:c r="L117" s="80" t="str"/>
      <x:c r="M117" s="81" t="str"/>
      <x:c r="N117" s="82" t="str">
        <x:f>IF(F117=I117,"是","否")</x:f>
        <x:v>否</x:v>
      </x:c>
      <x:c r="O117" s="82" t="str">
        <x:f>IF(AND(G117&lt;&gt;"",J117&lt;&gt;""),"是","否")</x:f>
        <x:v>否</x:v>
      </x:c>
    </x:row>
    <x:row r="118" ht="54" customHeight="1">
      <x:c r="A118" s="78" t="str">
        <x:v>case-55b6555e16f18c42</x:v>
      </x:c>
      <x:c r="B118" s="78" t="str">
        <x:v>en</x:v>
      </x:c>
      <x:c r="C118" s="78" t="str">
        <x:v>zh</x:v>
      </x:c>
      <x:c r="D118" s="78" t="str">
        <x:v>日常</x:v>
      </x:c>
      <x:c r="E118" s="79" t="str">
        <x:v>Could we talk somewhere quieter? I can hear you, but I can't make out every word.</x:v>
      </x:c>
      <x:c r="F118" s="79" t="str">
        <x:v>我们能在安静的地方谈谈吗?我能听到你,但我不能分辨每一个字。</x:v>
      </x:c>
      <x:c r="G118" s="80" t="str"/>
      <x:c r="H118" s="80" t="str"/>
      <x:c r="I118" s="79" t="str">
        <x:v>我们能在安静的地方说话吗?我能听到你,但我不能分辨每一个字。</x:v>
      </x:c>
      <x:c r="J118" s="80" t="str"/>
      <x:c r="K118" s="80" t="str"/>
      <x:c r="L118" s="80" t="str"/>
      <x:c r="M118" s="81" t="str"/>
      <x:c r="N118" s="82" t="str">
        <x:f>IF(F118=I118,"是","否")</x:f>
        <x:v>否</x:v>
      </x:c>
      <x:c r="O118" s="82" t="str">
        <x:f>IF(AND(G118&lt;&gt;"",J118&lt;&gt;""),"是","否")</x:f>
        <x:v>否</x:v>
      </x:c>
    </x:row>
    <x:row r="119" ht="54" customHeight="1">
      <x:c r="A119" s="78" t="str">
        <x:v>case-4e60a48278550137</x:v>
      </x:c>
      <x:c r="B119" s="78" t="str">
        <x:v>zh</x:v>
      </x:c>
      <x:c r="C119" s="78" t="str">
        <x:v>ru</x:v>
      </x:c>
      <x:c r="D119" s="78" t="str">
        <x:v>售后</x:v>
      </x:c>
      <x:c r="E119" s="79" t="str">
        <x:v>如果今天不能送到，请先联系我，不要把包裹放在门外。</x:v>
      </x:c>
      <x:c r="F119" s="79" t="str">
        <x:v>Если вы не можете доставить его сегодня, свяжитесь со мной сначала, не оставляйте пакеты за дверью.</x:v>
      </x:c>
      <x:c r="G119" s="80" t="str"/>
      <x:c r="H119" s="80" t="str"/>
      <x:c r="I119" s="79" t="str">
        <x:v>Если вы не можете доставить сегодня, свяжитесь со мной раньше, не оставляя пакеты за дверью.</x:v>
      </x:c>
      <x:c r="J119" s="80" t="str"/>
      <x:c r="K119" s="80" t="str"/>
      <x:c r="L119" s="80" t="str"/>
      <x:c r="M119" s="81" t="str"/>
      <x:c r="N119" s="82" t="str">
        <x:f>IF(F119=I119,"是","否")</x:f>
        <x:v>否</x:v>
      </x:c>
      <x:c r="O119" s="82" t="str">
        <x:f>IF(AND(G119&lt;&gt;"",J119&lt;&gt;""),"是","否")</x:f>
        <x:v>否</x:v>
      </x:c>
    </x:row>
    <x:row r="120" ht="54" customHeight="1">
      <x:c r="A120" s="78" t="str">
        <x:v>case-260727c0ca5ed592</x:v>
      </x:c>
      <x:c r="B120" s="78" t="str">
        <x:v>ru</x:v>
      </x:c>
      <x:c r="C120" s="78" t="str">
        <x:v>zh</x:v>
      </x:c>
      <x:c r="D120" s="78" t="str">
        <x:v>售后</x:v>
      </x:c>
      <x:c r="E120" s="79" t="str">
        <x:v>Телефон заряжается, но компьютер его не распознаёт. Я уже попробовал другой кабель.</x:v>
      </x:c>
      <x:c r="F120" s="79" t="str">
        <x:v>电话充电,但电脑无法识别电话。 我已经试过另一个电缆。</x:v>
      </x:c>
      <x:c r="G120" s="80" t="str"/>
      <x:c r="H120" s="80" t="str"/>
      <x:c r="I120" s="79" t="str">
        <x:v>电话充电,但电脑无法识别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话电</x:v>
      </x:c>
      <x:c r="J120" s="80" t="str"/>
      <x:c r="K120" s="80" t="str"/>
      <x:c r="L120" s="80" t="str"/>
      <x:c r="M120" s="81" t="str"/>
      <x:c r="N120" s="82" t="str">
        <x:f>IF(F120=I120,"是","否")</x:f>
        <x:v>否</x:v>
      </x:c>
      <x:c r="O120" s="82" t="str">
        <x:f>IF(AND(G120&lt;&gt;"",J120&lt;&gt;""),"是","否")</x:f>
        <x:v>否</x:v>
      </x:c>
    </x:row>
    <x:row r="121" ht="54" customHeight="1">
      <x:c r="A121" s="78" t="str">
        <x:v>case-07965c4c6d0d3498</x:v>
      </x:c>
      <x:c r="B121" s="78" t="str">
        <x:v>zh</x:v>
      </x:c>
      <x:c r="C121" s="78" t="str">
        <x:v>ru</x:v>
      </x:c>
      <x:c r="D121" s="78" t="str">
        <x:v>售后</x:v>
      </x:c>
      <x:c r="E121" s="79" t="str">
        <x:v>我订的是蓝色大号，收到的却是黑色中号，请帮我换货。</x:v>
      </x:c>
      <x:c r="F121" s="79" t="str">
        <x:v>Я заказывал синий номер, но получил черный номер, пожалуйста, помогите мне обменять товар.</x:v>
      </x:c>
      <x:c r="G121" s="80" t="str"/>
      <x:c r="H121" s="80" t="str"/>
      <x:c r="I121" s="79" t="str">
        <x:v>Я заказывал синий большой, но получил чёрный средний, помогите меня обменять товар.</x:v>
      </x:c>
      <x:c r="J121" s="80" t="str"/>
      <x:c r="K121" s="80" t="str"/>
      <x:c r="L121" s="80" t="str"/>
      <x:c r="M121" s="81" t="str"/>
      <x:c r="N121" s="82" t="str">
        <x:f>IF(F121=I121,"是","否")</x:f>
        <x:v>否</x:v>
      </x:c>
      <x:c r="O121" s="82" t="str">
        <x:f>IF(AND(G121&lt;&gt;"",J121&lt;&gt;""),"是","否")</x:f>
        <x:v>否</x:v>
      </x:c>
    </x:row>
    <x:row r="122" ht="54" customHeight="1">
      <x:c r="A122" s="78" t="str">
        <x:v>case-6f11dcb8d55528bd</x:v>
      </x:c>
      <x:c r="B122" s="78" t="str">
        <x:v>ru</x:v>
      </x:c>
      <x:c r="C122" s="78" t="str">
        <x:v>en</x:v>
      </x:c>
      <x:c r="D122" s="78" t="str">
        <x:v>出行</x:v>
      </x:c>
      <x:c r="E122" s="79" t="str">
        <x:v>Пожалуйста, отвезите меня к старому вокзалу, не к новому терминалу за городом.</x:v>
      </x:c>
      <x:c r="F122" s="79" t="str">
        <x:v>Please take me to the old station, not the new terminal outside the city.</x:v>
      </x:c>
      <x:c r="G122" s="80" t="str"/>
      <x:c r="H122" s="80" t="str"/>
      <x:c r="I122" s="79" t="str">
        <x:v>Please take me to the old station, not to the new terminal outside the city.</x:v>
      </x:c>
      <x:c r="J122" s="80" t="str"/>
      <x:c r="K122" s="80" t="str"/>
      <x:c r="L122" s="80" t="str"/>
      <x:c r="M122" s="81" t="str"/>
      <x:c r="N122" s="82" t="str">
        <x:f>IF(F122=I122,"是","否")</x:f>
        <x:v>否</x:v>
      </x:c>
      <x:c r="O122" s="82" t="str">
        <x:f>IF(AND(G122&lt;&gt;"",J122&lt;&gt;""),"是","否")</x:f>
        <x:v>否</x:v>
      </x:c>
    </x:row>
    <x:row r="123" ht="54" customHeight="1">
      <x:c r="A123" s="78" t="str">
        <x:v>case-3dac6d348f4e75b7</x:v>
      </x:c>
      <x:c r="B123" s="78" t="str">
        <x:v>en</x:v>
      </x:c>
      <x:c r="C123" s="78" t="str">
        <x:v>zh</x:v>
      </x:c>
      <x:c r="D123" s="78" t="str">
        <x:v>工作学习</x:v>
      </x:c>
      <x:c r="E123" s="79" t="str">
        <x:v>Only students who missed the first session need to complete this form.</x:v>
      </x:c>
      <x:c r="F123" s="79" t="str">
        <x:v>只有错过第一个课程的学生才需要填写这张表格。</x:v>
      </x:c>
      <x:c r="G123" s="80" t="str"/>
      <x:c r="H123" s="80" t="str"/>
      <x:c r="I123" s="79" t="str">
        <x:v>只有错过第一次课程的学生才需要填写这张表格。</x:v>
      </x:c>
      <x:c r="J123" s="80" t="str"/>
      <x:c r="K123" s="80" t="str"/>
      <x:c r="L123" s="80" t="str"/>
      <x:c r="M123" s="81" t="str"/>
      <x:c r="N123" s="82" t="str">
        <x:f>IF(F123=I123,"是","否")</x:f>
        <x:v>否</x:v>
      </x:c>
      <x:c r="O123" s="82" t="str">
        <x:f>IF(AND(G123&lt;&gt;"",J123&lt;&gt;""),"是","否")</x:f>
        <x:v>否</x:v>
      </x:c>
    </x:row>
    <x:row r="124" ht="54" customHeight="1">
      <x:c r="A124" s="78" t="str">
        <x:v>case-b4e9b529233bd267</x:v>
      </x:c>
      <x:c r="B124" s="78" t="str">
        <x:v>zh</x:v>
      </x:c>
      <x:c r="C124" s="78" t="str">
        <x:v>en</x:v>
      </x:c>
      <x:c r="D124" s="78" t="str">
        <x:v>日常</x:v>
      </x:c>
      <x:c r="E124" s="79" t="str">
        <x:v>麻烦把音乐调小一点，孩子刚睡着。</x:v>
      </x:c>
      <x:c r="F124" s="79" t="str">
        <x:v>The trouble trivializes the music a little while the child is asleep.</x:v>
      </x:c>
      <x:c r="G124" s="80" t="str"/>
      <x:c r="H124" s="80" t="str"/>
      <x:c r="I124" s="79" t="str">
        <x:v>The trouble is to turn the music down a little while the child is asleep.</x:v>
      </x:c>
      <x:c r="J124" s="80" t="str"/>
      <x:c r="K124" s="80" t="str"/>
      <x:c r="L124" s="80" t="str"/>
      <x:c r="M124" s="81" t="str"/>
      <x:c r="N124" s="82" t="str">
        <x:f>IF(F124=I124,"是","否")</x:f>
        <x:v>否</x:v>
      </x:c>
      <x:c r="O124" s="82" t="str">
        <x:f>IF(AND(G124&lt;&gt;"",J124&lt;&gt;""),"是","否")</x:f>
        <x:v>否</x:v>
      </x:c>
    </x:row>
    <x:row r="125" ht="54" customHeight="1">
      <x:c r="A125" s="78" t="str">
        <x:v>case-e8aa36381bccf782</x:v>
      </x:c>
      <x:c r="B125" s="78" t="str">
        <x:v>zh</x:v>
      </x:c>
      <x:c r="C125" s="78" t="str">
        <x:v>en</x:v>
      </x:c>
      <x:c r="D125" s="78" t="str">
        <x:v>日常</x:v>
      </x:c>
      <x:c r="E125" s="79" t="str">
        <x:v>如果你先到，请在楼下等我，不要直接上三楼。</x:v>
      </x:c>
      <x:c r="F125" s="79" t="str">
        <x:v>If you arrive first, please wait for me downstairs, not directly up to the third floor.</x:v>
      </x:c>
      <x:c r="G125" s="80" t="str"/>
      <x:c r="H125" s="80" t="str"/>
      <x:c r="I125" s="79" t="str">
        <x:v>If you arrive first, please wait for me downstairs, not directly up to the third floor.</x:v>
      </x:c>
      <x:c r="J125" s="80" t="str"/>
      <x:c r="K125" s="80" t="str"/>
      <x:c r="L125" s="80" t="str"/>
      <x:c r="M125" s="81" t="str"/>
      <x:c r="N125" s="82" t="str">
        <x:f>IF(F125=I125,"是","否")</x:f>
        <x:v>是</x:v>
      </x:c>
      <x:c r="O125" s="82" t="str">
        <x:f>IF(AND(G125&lt;&gt;"",J125&lt;&gt;""),"是","否")</x:f>
        <x:v>否</x:v>
      </x:c>
    </x:row>
    <x:row r="126" ht="54" customHeight="1">
      <x:c r="A126" s="78" t="str">
        <x:v>case-1cd9faabf733b4b6</x:v>
      </x:c>
      <x:c r="B126" s="78" t="str">
        <x:v>en</x:v>
      </x:c>
      <x:c r="C126" s="78" t="str">
        <x:v>ru</x:v>
      </x:c>
      <x:c r="D126" s="78" t="str">
        <x:v>日常</x:v>
      </x:c>
      <x:c r="E126" s="79" t="str">
        <x:v>I can lend you the umbrella, but please bring it back before I leave tomorrow morning.</x:v>
      </x:c>
      <x:c r="F126" s="79" t="str">
        <x:v>Я могу одолжить тебе зонтик, но, пожалуйста, верни его, прежде чем я уеду завтра утром.</x:v>
      </x:c>
      <x:c r="G126" s="80" t="str"/>
      <x:c r="H126" s="80" t="str"/>
      <x:c r="I126" s="79" t="str">
        <x:v>Я могу одолжить тебе зонтик, но, пожалуйста, верни его, прежде чем я уеду завтра утром.</x:v>
      </x:c>
      <x:c r="J126" s="80" t="str"/>
      <x:c r="K126" s="80" t="str"/>
      <x:c r="L126" s="80" t="str"/>
      <x:c r="M126" s="81" t="str"/>
      <x:c r="N126" s="82" t="str">
        <x:f>IF(F126=I126,"是","否")</x:f>
        <x:v>是</x:v>
      </x:c>
      <x:c r="O126" s="82" t="str">
        <x:f>IF(AND(G126&lt;&gt;"",J126&lt;&gt;""),"是","否")</x:f>
        <x:v>否</x:v>
      </x:c>
    </x:row>
    <x:row r="127" ht="54" customHeight="1">
      <x:c r="A127" s="78" t="str">
        <x:v>case-19b8afe6be5ff09c</x:v>
      </x:c>
      <x:c r="B127" s="78" t="str">
        <x:v>zh</x:v>
      </x:c>
      <x:c r="C127" s="78" t="str">
        <x:v>en</x:v>
      </x:c>
      <x:c r="D127" s="78" t="str">
        <x:v>出行</x:v>
      </x:c>
      <x:c r="E127" s="79" t="str">
        <x:v>我们有三个大人和一个孩子，需要两间房，住两晚。</x:v>
      </x:c>
      <x:c r="F127" s="79" t="str">
        <x:v>We have three adults and a child, and we need two rooms to stay for two nights.</x:v>
      </x:c>
      <x:c r="G127" s="80" t="str"/>
      <x:c r="H127" s="80" t="str"/>
      <x:c r="I127" s="79" t="str">
        <x:v>We have three adults and a child, and we need two rooms to stay for two nights.</x:v>
      </x:c>
      <x:c r="J127" s="80" t="str"/>
      <x:c r="K127" s="80" t="str"/>
      <x:c r="L127" s="80" t="str"/>
      <x:c r="M127" s="81" t="str"/>
      <x:c r="N127" s="82" t="str">
        <x:f>IF(F127=I127,"是","否")</x:f>
        <x:v>是</x:v>
      </x:c>
      <x:c r="O127" s="82" t="str">
        <x:f>IF(AND(G127&lt;&gt;"",J127&lt;&gt;""),"是","否")</x:f>
        <x:v>否</x:v>
      </x:c>
    </x:row>
    <x:row r="128" ht="54" customHeight="1">
      <x:c r="A128" s="78" t="str">
        <x:v>case-c6a12dae214b3b8b</x:v>
      </x:c>
      <x:c r="B128" s="78" t="str">
        <x:v>zh</x:v>
      </x:c>
      <x:c r="C128" s="78" t="str">
        <x:v>ru</x:v>
      </x:c>
      <x:c r="D128" s="78" t="str">
        <x:v>出行</x:v>
      </x:c>
      <x:c r="E128" s="79" t="str">
        <x:v>请问到北门应该在下一站下车，还是再坐两站？</x:v>
      </x:c>
      <x:c r="F128" s="79" t="str">
        <x:v>Пожалуйста, спросите, стоит ли северо-восток выйти на следующей остановке или занять еще две остановки?</x:v>
      </x:c>
      <x:c r="G128" s="80" t="str"/>
      <x:c r="H128" s="80" t="str"/>
      <x:c r="I128" s="79" t="str">
        <x:v>Спросите, должен ли Северный Двор выйти на следующей остановке или занять ещё две остановки?</x:v>
      </x:c>
      <x:c r="J128" s="80" t="str"/>
      <x:c r="K128" s="80" t="str"/>
      <x:c r="L128" s="80" t="str"/>
      <x:c r="M128" s="81" t="str"/>
      <x:c r="N128" s="82" t="str">
        <x:f>IF(F128=I128,"是","否")</x:f>
        <x:v>否</x:v>
      </x:c>
      <x:c r="O128" s="82" t="str">
        <x:f>IF(AND(G128&lt;&gt;"",J128&lt;&gt;""),"是","否")</x:f>
        <x:v>否</x:v>
      </x:c>
    </x:row>
    <x:row r="129" ht="54" customHeight="1">
      <x:c r="A129" s="78" t="str">
        <x:v>case-0b78b1b99c3cff7b</x:v>
      </x:c>
      <x:c r="B129" s="78" t="str">
        <x:v>en</x:v>
      </x:c>
      <x:c r="C129" s="78" t="str">
        <x:v>uz</x:v>
      </x:c>
      <x:c r="D129" s="78" t="str">
        <x:v>售后</x:v>
      </x:c>
      <x:c r="E129" s="79" t="str">
        <x:v>I received two left shoes instead of a matching pair.</x:v>
      </x:c>
      <x:c r="F129" s="79" t="str">
        <x:v>Men mos keladigan juftlik o'rniga chapga ikkita oyoq kiyim oldim.</x:v>
      </x:c>
      <x:c r="G129" s="80" t="str"/>
      <x:c r="H129" s="80" t="str"/>
      <x:c r="I129" s="79" t="str">
        <x:v>Men mos keladigan juftlik o'rniga ikkita chap poyabzal oldim.</x:v>
      </x:c>
      <x:c r="J129" s="80" t="str"/>
      <x:c r="K129" s="80" t="str"/>
      <x:c r="L129" s="80" t="str"/>
      <x:c r="M129" s="81" t="str"/>
      <x:c r="N129" s="82" t="str">
        <x:f>IF(F129=I129,"是","否")</x:f>
        <x:v>否</x:v>
      </x:c>
      <x:c r="O129" s="82" t="str">
        <x:f>IF(AND(G129&lt;&gt;"",J129&lt;&gt;""),"是","否")</x:f>
        <x:v>否</x:v>
      </x:c>
    </x:row>
    <x:row r="130" ht="54" customHeight="1">
      <x:c r="A130" s="78" t="str">
        <x:v>case-656639c4ed34d303</x:v>
      </x:c>
      <x:c r="B130" s="78" t="str">
        <x:v>uz</x:v>
      </x:c>
      <x:c r="C130" s="78" t="str">
        <x:v>ru</x:v>
      </x:c>
      <x:c r="D130" s="78" t="str">
        <x:v>工作学习</x:v>
      </x:c>
      <x:c r="E130" s="79" t="str">
        <x:v>Avval eski nusxani saqlab qo'ying, keyin yangi ma'lumotlarni kiriting.</x:v>
      </x:c>
      <x:c r="F130" s="79" t="str">
        <x:v>Сначала сохрани старую копию, а затем введите новые данные.</x:v>
      </x:c>
      <x:c r="G130" s="80" t="str"/>
      <x:c r="H130" s="80" t="str"/>
      <x:c r="I130" s="79" t="str">
        <x:v>Сначала сохраните старую копию, а затем введите новые данные.</x:v>
      </x:c>
      <x:c r="J130" s="80" t="str"/>
      <x:c r="K130" s="80" t="str"/>
      <x:c r="L130" s="80" t="str"/>
      <x:c r="M130" s="81" t="str"/>
      <x:c r="N130" s="82" t="str">
        <x:f>IF(F130=I130,"是","否")</x:f>
        <x:v>否</x:v>
      </x:c>
      <x:c r="O130" s="82" t="str">
        <x:f>IF(AND(G130&lt;&gt;"",J130&lt;&gt;""),"是","否")</x:f>
        <x:v>否</x:v>
      </x:c>
    </x:row>
    <x:row r="131" ht="54" customHeight="1">
      <x:c r="A131" s="78" t="str">
        <x:v>case-a73c70d0324207f2</x:v>
      </x:c>
      <x:c r="B131" s="78" t="str">
        <x:v>zh</x:v>
      </x:c>
      <x:c r="C131" s="78" t="str">
        <x:v>en</x:v>
      </x:c>
      <x:c r="D131" s="78" t="str">
        <x:v>出行</x:v>
      </x:c>
      <x:c r="E131" s="79" t="str">
        <x:v>请问到北门应该在下一站下车，还是再坐两站？</x:v>
      </x:c>
      <x:c r="F131" s="79" t="str">
        <x:v>Please tell me, should the North Gate get off at the next stop or two more?</x:v>
      </x:c>
      <x:c r="G131" s="80" t="str"/>
      <x:c r="H131" s="80" t="str"/>
      <x:c r="I131" s="79" t="str">
        <x:v>Please ask, should the North Gate get off at the next stop, or take two more stops?</x:v>
      </x:c>
      <x:c r="J131" s="80" t="str"/>
      <x:c r="K131" s="80" t="str"/>
      <x:c r="L131" s="80" t="str"/>
      <x:c r="M131" s="81" t="str"/>
      <x:c r="N131" s="82" t="str">
        <x:f>IF(F131=I131,"是","否")</x:f>
        <x:v>否</x:v>
      </x:c>
      <x:c r="O131" s="82" t="str">
        <x:f>IF(AND(G131&lt;&gt;"",J131&lt;&gt;""),"是","否")</x:f>
        <x:v>否</x:v>
      </x:c>
    </x:row>
    <x:row r="132" ht="54" customHeight="1">
      <x:c r="A132" s="78" t="str">
        <x:v>case-66dc5fbeb25b7b81</x:v>
      </x:c>
      <x:c r="B132" s="78" t="str">
        <x:v>uz</x:v>
      </x:c>
      <x:c r="C132" s="78" t="str">
        <x:v>ru</x:v>
      </x:c>
      <x:c r="D132" s="78" t="str">
        <x:v>出行</x:v>
      </x:c>
      <x:c r="E132" s="79" t="str">
        <x:v>Haydovchiga ayting, bizni bozorning oldida emas, orqa tomonida kutib tursin.</x:v>
      </x:c>
      <x:c r="F132" s="79" t="str">
        <x:v>Передайте водителю ждать нас за спиной, а не перед рынком.</x:v>
      </x:c>
      <x:c r="G132" s="80" t="str"/>
      <x:c r="H132" s="80" t="str"/>
      <x:c r="I132" s="79" t="str">
        <x:v>Скажите водителю, чтобы он подождал нас не перед рынком, а позади.</x:v>
      </x:c>
      <x:c r="J132" s="80" t="str"/>
      <x:c r="K132" s="80" t="str"/>
      <x:c r="L132" s="80" t="str"/>
      <x:c r="M132" s="81" t="str"/>
      <x:c r="N132" s="82" t="str">
        <x:f>IF(F132=I132,"是","否")</x:f>
        <x:v>否</x:v>
      </x:c>
      <x:c r="O132" s="82" t="str">
        <x:f>IF(AND(G132&lt;&gt;"",J132&lt;&gt;""),"是","否")</x:f>
        <x:v>否</x:v>
      </x:c>
    </x:row>
    <x:row r="133" ht="54" customHeight="1">
      <x:c r="A133" s="78" t="str">
        <x:v>case-5e7048943ca0f51c</x:v>
      </x:c>
      <x:c r="B133" s="78" t="str">
        <x:v>en</x:v>
      </x:c>
      <x:c r="C133" s="78" t="str">
        <x:v>uz</x:v>
      </x:c>
      <x:c r="D133" s="78" t="str">
        <x:v>日常</x:v>
      </x:c>
      <x:c r="E133" s="79" t="str">
        <x:v>Keep one slice for Sam and share the rest between the two of you.</x:v>
      </x:c>
      <x:c r="F133" s="79" t="str">
        <x:v>Bir bo'lakni Sam uchun saqlang va qolgan qismni ikkalasi bilan bo'ling.</x:v>
      </x:c>
      <x:c r="G133" s="80" t="str"/>
      <x:c r="H133" s="80" t="str"/>
      <x:c r="I133" s="79" t="str">
        <x:v>Bir bo'lakni Sam uchun saqlang va qolgan qismni ikkalasi bilan bo'ling.</x:v>
      </x:c>
      <x:c r="J133" s="80" t="str"/>
      <x:c r="K133" s="80" t="str"/>
      <x:c r="L133" s="80" t="str"/>
      <x:c r="M133" s="81" t="str"/>
      <x:c r="N133" s="82" t="str">
        <x:f>IF(F133=I133,"是","否")</x:f>
        <x:v>是</x:v>
      </x:c>
      <x:c r="O133" s="82" t="str">
        <x:f>IF(AND(G133&lt;&gt;"",J133&lt;&gt;""),"是","否")</x:f>
        <x:v>否</x:v>
      </x:c>
    </x:row>
    <x:row r="134" ht="54" customHeight="1">
      <x:c r="A134" s="78" t="str">
        <x:v>case-1f745311bccb6a98</x:v>
      </x:c>
      <x:c r="B134" s="78" t="str">
        <x:v>en</x:v>
      </x:c>
      <x:c r="C134" s="78" t="str">
        <x:v>uz</x:v>
      </x:c>
      <x:c r="D134" s="78" t="str">
        <x:v>售后</x:v>
      </x:c>
      <x:c r="E134" s="79" t="str">
        <x:v>Please send the replacement to my office; the address on the original order is no longer valid.</x:v>
      </x:c>
      <x:c r="F134" s="79" t="str">
        <x:v>Iltimos, almashtirishni ofisimga yuboring; asl buyurtmaning manzili endi haqiqiy emas.</x:v>
      </x:c>
      <x:c r="G134" s="80" t="str"/>
      <x:c r="H134" s="80" t="str"/>
      <x:c r="I134" s="79" t="str">
        <x:v>Iltimos, almashtirishni ofisimga yuboring; asl buyurtmaning manzili endi haqiqiy emas.</x:v>
      </x:c>
      <x:c r="J134" s="80" t="str"/>
      <x:c r="K134" s="80" t="str"/>
      <x:c r="L134" s="80" t="str"/>
      <x:c r="M134" s="81" t="str"/>
      <x:c r="N134" s="82" t="str">
        <x:f>IF(F134=I134,"是","否")</x:f>
        <x:v>是</x:v>
      </x:c>
      <x:c r="O134" s="82" t="str">
        <x:f>IF(AND(G134&lt;&gt;"",J134&lt;&gt;""),"是","否")</x:f>
        <x:v>否</x:v>
      </x:c>
    </x:row>
    <x:row r="135" ht="54" customHeight="1">
      <x:c r="A135" s="78" t="str">
        <x:v>case-fbca5f85d46f0452</x:v>
      </x:c>
      <x:c r="B135" s="78" t="str">
        <x:v>zh</x:v>
      </x:c>
      <x:c r="C135" s="78" t="str">
        <x:v>en</x:v>
      </x:c>
      <x:c r="D135" s="78" t="str">
        <x:v>售后</x:v>
      </x:c>
      <x:c r="E135" s="79" t="str">
        <x:v>页面上写的是每包五百克，不是五百毫升，请确认标签是否贴错。</x:v>
      </x:c>
      <x:c r="F135" s="79" t="str">
        <x:v>The page says five hundred packs per pack, not five hundred milliliters, please confirm if the label is wrong.</x:v>
      </x:c>
      <x:c r="G135" s="80" t="str"/>
      <x:c r="H135" s="80" t="str"/>
      <x:c r="I135" s="79" t="str">
        <x:v>The page says five hundred packs per pack, not five hundred milliliters, so please confirm if the label is wrong.</x:v>
      </x:c>
      <x:c r="J135" s="80" t="str"/>
      <x:c r="K135" s="80" t="str"/>
      <x:c r="L135" s="80" t="str"/>
      <x:c r="M135" s="81" t="str"/>
      <x:c r="N135" s="82" t="str">
        <x:f>IF(F135=I135,"是","否")</x:f>
        <x:v>否</x:v>
      </x:c>
      <x:c r="O135" s="82" t="str">
        <x:f>IF(AND(G135&lt;&gt;"",J135&lt;&gt;""),"是","否")</x:f>
        <x:v>否</x:v>
      </x:c>
    </x:row>
    <x:row r="136" ht="54" customHeight="1">
      <x:c r="A136" s="78" t="str">
        <x:v>case-a338b48cd68338e4</x:v>
      </x:c>
      <x:c r="B136" s="78" t="str">
        <x:v>ru</x:v>
      </x:c>
      <x:c r="C136" s="78" t="str">
        <x:v>uz</x:v>
      </x:c>
      <x:c r="D136" s="78" t="str">
        <x:v>出行</x:v>
      </x:c>
      <x:c r="E136" s="79" t="str">
        <x:v>Если поезд задержится больше чем на час, сообщите, пожалуйста, можно ли вернуть билет.</x:v>
      </x:c>
      <x:c r="F136" s="79" t="str">
        <x:v>Agar poyezd bir soatdan ko'proq kechiksa, chiptangizni qaytarib berishni so'raysiz.</x:v>
      </x:c>
      <x:c r="G136" s="80" t="str"/>
      <x:c r="H136" s="80" t="str"/>
      <x:c r="I136" s="79" t="str">
        <x:v>Agar poyezd bir soatdan ko'proq kechiksa, iltimos, chiptangizni qaytarib berishni so'rang.</x:v>
      </x:c>
      <x:c r="J136" s="80" t="str"/>
      <x:c r="K136" s="80" t="str"/>
      <x:c r="L136" s="80" t="str"/>
      <x:c r="M136" s="81" t="str"/>
      <x:c r="N136" s="82" t="str">
        <x:f>IF(F136=I136,"是","否")</x:f>
        <x:v>否</x:v>
      </x:c>
      <x:c r="O136" s="82" t="str">
        <x:f>IF(AND(G136&lt;&gt;"",J136&lt;&gt;""),"是","否")</x:f>
        <x:v>否</x:v>
      </x:c>
    </x:row>
    <x:row r="137" ht="54" customHeight="1">
      <x:c r="A137" s="78" t="str">
        <x:v>case-91c2711b8404bf83</x:v>
      </x:c>
      <x:c r="B137" s="78" t="str">
        <x:v>zh</x:v>
      </x:c>
      <x:c r="C137" s="78" t="str">
        <x:v>en</x:v>
      </x:c>
      <x:c r="D137" s="78" t="str">
        <x:v>工作学习</x:v>
      </x:c>
      <x:c r="E137" s="79" t="str">
        <x:v>如果测试没有通过，我们就推迟发布；否则按原计划进行。</x:v>
      </x:c>
      <x:c r="F137" s="79" t="str">
        <x:v>If the test does not pass, we postpone the release; otherwise, proceed as planned.</x:v>
      </x:c>
      <x:c r="G137" s="80" t="str"/>
      <x:c r="H137" s="80" t="str"/>
      <x:c r="I137" s="79" t="str">
        <x:v>If the test does not pass, we postpone the release; otherwise, proceed as planned.</x:v>
      </x:c>
      <x:c r="J137" s="80" t="str"/>
      <x:c r="K137" s="80" t="str"/>
      <x:c r="L137" s="80" t="str"/>
      <x:c r="M137" s="81" t="str"/>
      <x:c r="N137" s="82" t="str">
        <x:f>IF(F137=I137,"是","否")</x:f>
        <x:v>是</x:v>
      </x:c>
      <x:c r="O137" s="82" t="str">
        <x:f>IF(AND(G137&lt;&gt;"",J137&lt;&gt;""),"是","否")</x:f>
        <x:v>否</x:v>
      </x:c>
    </x:row>
    <x:row r="138" ht="54" customHeight="1">
      <x:c r="A138" s="78" t="str">
        <x:v>case-be58181d2a50a4e9</x:v>
      </x:c>
      <x:c r="B138" s="78" t="str">
        <x:v>zh</x:v>
      </x:c>
      <x:c r="C138" s="78" t="str">
        <x:v>ru</x:v>
      </x:c>
      <x:c r="D138" s="78" t="str">
        <x:v>工作学习</x:v>
      </x:c>
      <x:c r="E138" s="79" t="str">
        <x:v>请把每箱十二件改成每箱十件，总箱数保持不变。</x:v>
      </x:c>
      <x:c r="F138" s="79" t="str">
        <x:v>Измените по двенадцать из каждой коробки на десять, чтобы количество коробки осталось неизменным.</x:v>
      </x:c>
      <x:c r="G138" s="80" t="str"/>
      <x:c r="H138" s="80" t="str"/>
      <x:c r="I138" s="79" t="str">
        <x:v>Пожалуйста, преобразуйте 12 из каждой коробки в 10 из каждой коробки, чтобы общее количество коробки оставалось неизменным.</x:v>
      </x:c>
      <x:c r="J138" s="80" t="str"/>
      <x:c r="K138" s="80" t="str"/>
      <x:c r="L138" s="80" t="str"/>
      <x:c r="M138" s="81" t="str"/>
      <x:c r="N138" s="82" t="str">
        <x:f>IF(F138=I138,"是","否")</x:f>
        <x:v>否</x:v>
      </x:c>
      <x:c r="O138" s="82" t="str">
        <x:f>IF(AND(G138&lt;&gt;"",J138&lt;&gt;""),"是","否")</x:f>
        <x:v>否</x:v>
      </x:c>
    </x:row>
    <x:row r="139" ht="54" customHeight="1">
      <x:c r="A139" s="78" t="str">
        <x:v>case-ea82356c880a1741</x:v>
      </x:c>
      <x:c r="B139" s="78" t="str">
        <x:v>zh</x:v>
      </x:c>
      <x:c r="C139" s="78" t="str">
        <x:v>en</x:v>
      </x:c>
      <x:c r="D139" s="78" t="str">
        <x:v>出行</x:v>
      </x:c>
      <x:c r="E139" s="79" t="str">
        <x:v>我的行李不是丢了，而是留在上一辆出租车的后备箱里了。</x:v>
      </x:c>
      <x:c r="F139" s="79" t="str">
        <x:v>My luggage wasn't lost, it was left in the back of the other taxi.</x:v>
      </x:c>
      <x:c r="G139" s="80" t="str"/>
      <x:c r="H139" s="80" t="str"/>
      <x:c r="I139" s="79" t="str">
        <x:v>My luggage wasn't lost, it was left in the back of the other taxi.</x:v>
      </x:c>
      <x:c r="J139" s="80" t="str"/>
      <x:c r="K139" s="80" t="str"/>
      <x:c r="L139" s="80" t="str"/>
      <x:c r="M139" s="81" t="str"/>
      <x:c r="N139" s="82" t="str">
        <x:f>IF(F139=I139,"是","否")</x:f>
        <x:v>是</x:v>
      </x:c>
      <x:c r="O139" s="82" t="str">
        <x:f>IF(AND(G139&lt;&gt;"",J139&lt;&gt;""),"是","否")</x:f>
        <x:v>否</x:v>
      </x:c>
    </x:row>
    <x:row r="140" ht="54" customHeight="1">
      <x:c r="A140" s="78" t="str">
        <x:v>case-5132241bea83f2b8</x:v>
      </x:c>
      <x:c r="B140" s="78" t="str">
        <x:v>en</x:v>
      </x:c>
      <x:c r="C140" s="78" t="str">
        <x:v>uz</x:v>
      </x:c>
      <x:c r="D140" s="78" t="str">
        <x:v>出行</x:v>
      </x:c>
      <x:c r="E140" s="79" t="str">
        <x:v>Please drop us at the side entrance, not the main gate; our bags are already there.</x:v>
      </x:c>
      <x:c r="F140" s="79" t="str">
        <x:v>Iltimos, bizni asosiy darvoza emas, balki yon kirish joyida qoldiring, bizning sumkamiz allaqachon u yerda.</x:v>
      </x:c>
      <x:c r="G140" s="80" t="str"/>
      <x:c r="H140" s="80" t="str"/>
      <x:c r="I140" s="79" t="str">
        <x:v>Iltimos bizni asosiy darvoza emas, balki yon kirish joyida qoldiring, bizning sumkamiz allaqachon u yerda.</x:v>
      </x:c>
      <x:c r="J140" s="80" t="str"/>
      <x:c r="K140" s="80" t="str"/>
      <x:c r="L140" s="80" t="str"/>
      <x:c r="M140" s="81" t="str"/>
      <x:c r="N140" s="82" t="str">
        <x:f>IF(F140=I140,"是","否")</x:f>
        <x:v>否</x:v>
      </x:c>
      <x:c r="O140" s="82" t="str">
        <x:f>IF(AND(G140&lt;&gt;"",J140&lt;&gt;""),"是","否")</x:f>
        <x:v>否</x:v>
      </x:c>
    </x:row>
    <x:row r="141" ht="54" customHeight="1">
      <x:c r="A141" s="78" t="str">
        <x:v>case-7231aab9860139b4</x:v>
      </x:c>
      <x:c r="B141" s="78" t="str">
        <x:v>zh</x:v>
      </x:c>
      <x:c r="C141" s="78" t="str">
        <x:v>en</x:v>
      </x:c>
      <x:c r="D141" s="78" t="str">
        <x:v>售后</x:v>
      </x:c>
      <x:c r="E141" s="79" t="str">
        <x:v>请只取消订单里的耳机，充电器仍然需要发货。</x:v>
      </x:c>
      <x:c r="F141" s="79" t="str">
        <x:v>Please cancel the headphones you ordered and the charger will still need to be shipped.</x:v>
      </x:c>
      <x:c r="G141" s="80" t="str"/>
      <x:c r="H141" s="80" t="str"/>
      <x:c r="I141" s="79" t="str">
        <x:v>Please cancel the earphones you ordered and the charger will still need to be shipped.</x:v>
      </x:c>
      <x:c r="J141" s="80" t="str"/>
      <x:c r="K141" s="80" t="str"/>
      <x:c r="L141" s="80" t="str"/>
      <x:c r="M141" s="81" t="str"/>
      <x:c r="N141" s="82" t="str">
        <x:f>IF(F141=I141,"是","否")</x:f>
        <x:v>否</x:v>
      </x:c>
      <x:c r="O141" s="82" t="str">
        <x:f>IF(AND(G141&lt;&gt;"",J141&lt;&gt;""),"是","否")</x:f>
        <x:v>否</x:v>
      </x:c>
    </x:row>
    <x:row r="142" ht="54" customHeight="1">
      <x:c r="A142" s="78" t="str">
        <x:v>case-6b0c539c40c7cc32</x:v>
      </x:c>
      <x:c r="B142" s="78" t="str">
        <x:v>zh</x:v>
      </x:c>
      <x:c r="C142" s="78" t="str">
        <x:v>ru</x:v>
      </x:c>
      <x:c r="D142" s="78" t="str">
        <x:v>出行</x:v>
      </x:c>
      <x:c r="E142" s="79" t="str">
        <x:v>我的行李不是丢了，而是留在上一辆出租车的后备箱里了。</x:v>
      </x:c>
      <x:c r="F142" s="79" t="str">
        <x:v>Мой багаж не потерян, а остался в резервном ящике предыдущего такси.</x:v>
      </x:c>
      <x:c r="G142" s="80" t="str"/>
      <x:c r="H142" s="80" t="str"/>
      <x:c r="I142" s="79" t="str">
        <x:v>Мой багаж не потерян, он остался в коробке в другом такси.</x:v>
      </x:c>
      <x:c r="J142" s="80" t="str"/>
      <x:c r="K142" s="80" t="str"/>
      <x:c r="L142" s="80" t="str"/>
      <x:c r="M142" s="81" t="str"/>
      <x:c r="N142" s="82" t="str">
        <x:f>IF(F142=I142,"是","否")</x:f>
        <x:v>否</x:v>
      </x:c>
      <x:c r="O142" s="82" t="str">
        <x:f>IF(AND(G142&lt;&gt;"",J142&lt;&gt;""),"是","否")</x:f>
        <x:v>否</x:v>
      </x:c>
    </x:row>
    <x:row r="143" ht="54" customHeight="1">
      <x:c r="A143" s="78" t="str">
        <x:v>case-fb635a7efa59a774</x:v>
      </x:c>
      <x:c r="B143" s="78" t="str">
        <x:v>uz</x:v>
      </x:c>
      <x:c r="C143" s="78" t="str">
        <x:v>ru</x:v>
      </x:c>
      <x:c r="D143" s="78" t="str">
        <x:v>出行</x:v>
      </x:c>
      <x:c r="E143" s="79" t="str">
        <x:v>Men Toshkentga bormoqchiman, Toshkentdan ketmoqchi emasman. Iltimos, chiptani tekshiring.</x:v>
      </x:c>
      <x:c r="F143" s="79" t="str">
        <x:v>Я хочу поехать в Ташкент, я не хочу уезжать из него. Пожалуйста, проверьте билет.</x:v>
      </x:c>
      <x:c r="G143" s="80" t="str"/>
      <x:c r="H143" s="80" t="str"/>
      <x:c r="I143" s="79" t="str">
        <x:v>Я хочу поехать в Ташкент, не хочу уезжать из него. Проверьте билет.</x:v>
      </x:c>
      <x:c r="J143" s="80" t="str"/>
      <x:c r="K143" s="80" t="str"/>
      <x:c r="L143" s="80" t="str"/>
      <x:c r="M143" s="81" t="str"/>
      <x:c r="N143" s="82" t="str">
        <x:f>IF(F143=I143,"是","否")</x:f>
        <x:v>否</x:v>
      </x:c>
      <x:c r="O143" s="82" t="str">
        <x:f>IF(AND(G143&lt;&gt;"",J143&lt;&gt;""),"是","否")</x:f>
        <x:v>否</x:v>
      </x:c>
    </x:row>
    <x:row r="144" ht="54" customHeight="1">
      <x:c r="A144" s="78" t="str">
        <x:v>case-4aebb8b133f80345</x:v>
      </x:c>
      <x:c r="B144" s="78" t="str">
        <x:v>en</x:v>
      </x:c>
      <x:c r="C144" s="78" t="str">
        <x:v>zh</x:v>
      </x:c>
      <x:c r="D144" s="78" t="str">
        <x:v>工作学习</x:v>
      </x:c>
      <x:c r="E144" s="79" t="str">
        <x:v>The figures in column C are estimates, whereas those in column D have been confirmed.</x:v>
      </x:c>
      <x:c r="F144" s="79" t="str">
        <x:v>C列中的数字是估计,而D列的数字已得到确认。</x:v>
      </x:c>
      <x:c r="G144" s="80" t="str"/>
      <x:c r="H144" s="80" t="str"/>
      <x:c r="I144" s="79" t="str">
        <x:v>C列中的数字是估计,而D列中的数字已经得到确认。</x:v>
      </x:c>
      <x:c r="J144" s="80" t="str"/>
      <x:c r="K144" s="80" t="str"/>
      <x:c r="L144" s="80" t="str"/>
      <x:c r="M144" s="81" t="str"/>
      <x:c r="N144" s="82" t="str">
        <x:f>IF(F144=I144,"是","否")</x:f>
        <x:v>否</x:v>
      </x:c>
      <x:c r="O144" s="82" t="str">
        <x:f>IF(AND(G144&lt;&gt;"",J144&lt;&gt;""),"是","否")</x:f>
        <x:v>否</x:v>
      </x:c>
    </x:row>
    <x:row r="145" ht="54" customHeight="1">
      <x:c r="A145" s="78" t="str">
        <x:v>case-ee2296534e497b14</x:v>
      </x:c>
      <x:c r="B145" s="78" t="str">
        <x:v>uz</x:v>
      </x:c>
      <x:c r="C145" s="78" t="str">
        <x:v>en</x:v>
      </x:c>
      <x:c r="D145" s="78" t="str">
        <x:v>工作学习</x:v>
      </x:c>
      <x:c r="E145" s="79" t="str">
        <x:v>Bu xulosani tasdiqlash uchun ma'lumot yetarli emas. Hozircha uni taxmin deb ko'rsating.</x:v>
      </x:c>
      <x:c r="F145" s="79" t="str">
        <x:v>There is not enough information to confirm this conclusion. For now, consider it an approximation.</x:v>
      </x:c>
      <x:c r="G145" s="80" t="str"/>
      <x:c r="H145" s="80" t="str"/>
      <x:c r="I145" s="79" t="str">
        <x:v>There is not enough information to confirm this conclusion. Please indicate it as an approximation for now.</x:v>
      </x:c>
      <x:c r="J145" s="80" t="str"/>
      <x:c r="K145" s="80" t="str"/>
      <x:c r="L145" s="80" t="str"/>
      <x:c r="M145" s="81" t="str"/>
      <x:c r="N145" s="82" t="str">
        <x:f>IF(F145=I145,"是","否")</x:f>
        <x:v>否</x:v>
      </x:c>
      <x:c r="O145" s="82" t="str">
        <x:f>IF(AND(G145&lt;&gt;"",J145&lt;&gt;""),"是","否")</x:f>
        <x:v>否</x:v>
      </x:c>
    </x:row>
    <x:row r="146" ht="54" customHeight="1">
      <x:c r="A146" s="78" t="str">
        <x:v>case-02197f031bab46b8</x:v>
      </x:c>
      <x:c r="B146" s="78" t="str">
        <x:v>ru</x:v>
      </x:c>
      <x:c r="C146" s="78" t="str">
        <x:v>en</x:v>
      </x:c>
      <x:c r="D146" s="78" t="str">
        <x:v>出行</x:v>
      </x:c>
      <x:c r="E146" s="79" t="str">
        <x:v>У меня только ручная кладь. Нужно ли всё равно стоять в очереди на сдачу багажа?</x:v>
      </x:c>
      <x:c r="F146" s="79" t="str">
        <x:v>I have only hand luggage. Do I still have to wait in line to deliver the luggage?</x:v>
      </x:c>
      <x:c r="G146" s="80" t="str"/>
      <x:c r="H146" s="80" t="str"/>
      <x:c r="I146" s="79" t="str">
        <x:v>I have only hand luggage. Do I still have to wait in line for the baggage to be delivered?</x:v>
      </x:c>
      <x:c r="J146" s="80" t="str"/>
      <x:c r="K146" s="80" t="str"/>
      <x:c r="L146" s="80" t="str"/>
      <x:c r="M146" s="81" t="str"/>
      <x:c r="N146" s="82" t="str">
        <x:f>IF(F146=I146,"是","否")</x:f>
        <x:v>否</x:v>
      </x:c>
      <x:c r="O146" s="82" t="str">
        <x:f>IF(AND(G146&lt;&gt;"",J146&lt;&gt;""),"是","否")</x:f>
        <x:v>否</x:v>
      </x:c>
    </x:row>
    <x:row r="147" ht="54" customHeight="1">
      <x:c r="A147" s="78" t="str">
        <x:v>case-76155cfff53df33c</x:v>
      </x:c>
      <x:c r="B147" s="78" t="str">
        <x:v>ru</x:v>
      </x:c>
      <x:c r="C147" s="78" t="str">
        <x:v>uz</x:v>
      </x:c>
      <x:c r="D147" s="78" t="str">
        <x:v>工作学习</x:v>
      </x:c>
      <x:c r="E147" s="79" t="str">
        <x:v>Сначала отключите питание, затем отсоедините кабель. Не меняйте порядок действий.</x:v>
      </x:c>
      <x:c r="F147" s="79" t="str">
        <x:v>Avval quvvatni o'chirib tashlang, keyin kabelni uzing. Harakatlar tartibini o'zgartirmang.</x:v>
      </x:c>
      <x:c r="G147" s="80" t="str"/>
      <x:c r="H147" s="80" t="str"/>
      <x:c r="I147" s="79" t="str">
        <x:v>Avval quvvatni o'chiring, keyin kabelni uzing. Harakatlar tartibini o'zgartirib qo'ymang.</x:v>
      </x:c>
      <x:c r="J147" s="80" t="str"/>
      <x:c r="K147" s="80" t="str"/>
      <x:c r="L147" s="80" t="str"/>
      <x:c r="M147" s="81" t="str"/>
      <x:c r="N147" s="82" t="str">
        <x:f>IF(F147=I147,"是","否")</x:f>
        <x:v>否</x:v>
      </x:c>
      <x:c r="O147" s="82" t="str">
        <x:f>IF(AND(G147&lt;&gt;"",J147&lt;&gt;""),"是","否")</x:f>
        <x:v>否</x:v>
      </x:c>
    </x:row>
    <x:row r="148" ht="54" customHeight="1">
      <x:c r="A148" s="78" t="str">
        <x:v>case-6b6786a29a526589</x:v>
      </x:c>
      <x:c r="B148" s="78" t="str">
        <x:v>uz</x:v>
      </x:c>
      <x:c r="C148" s="78" t="str">
        <x:v>zh</x:v>
      </x:c>
      <x:c r="D148" s="78" t="str">
        <x:v>售后</x:v>
      </x:c>
      <x:c r="E148" s="79" t="str">
        <x:v>Buyurtmamda uchta daftar bor edi, lekin faqat ikkitasi keldi.</x:v>
      </x:c>
      <x:c r="F148" s="79" t="str">
        <x:v>我有三本书,但只有两本才来。</x:v>
      </x:c>
      <x:c r="G148" s="80" t="str"/>
      <x:c r="H148" s="80" t="str"/>
      <x:c r="I148" s="79" t="str">
        <x:v>我订有三本书,但只有两本才来。</x:v>
      </x:c>
      <x:c r="J148" s="80" t="str"/>
      <x:c r="K148" s="80" t="str"/>
      <x:c r="L148" s="80" t="str"/>
      <x:c r="M148" s="81" t="str"/>
      <x:c r="N148" s="82" t="str">
        <x:f>IF(F148=I148,"是","否")</x:f>
        <x:v>否</x:v>
      </x:c>
      <x:c r="O148" s="82" t="str">
        <x:f>IF(AND(G148&lt;&gt;"",J148&lt;&gt;""),"是","否")</x:f>
        <x:v>否</x:v>
      </x:c>
    </x:row>
    <x:row r="149" ht="54" customHeight="1">
      <x:c r="A149" s="78" t="str">
        <x:v>case-cc46c0aa517259ab</x:v>
      </x:c>
      <x:c r="B149" s="78" t="str">
        <x:v>en</x:v>
      </x:c>
      <x:c r="C149" s="78" t="str">
        <x:v>uz</x:v>
      </x:c>
      <x:c r="D149" s="78" t="str">
        <x:v>工作学习</x:v>
      </x:c>
      <x:c r="E149" s="79" t="str">
        <x:v>The parcel weighs 2.5 kilograms without the packaging and 2.8 kilograms with it.</x:v>
      </x:c>
      <x:c r="F149" s="79" t="str">
        <x:v>Paket paketsiz 2,5 kilogramm va u bilan birga 2,8 kilogramm og'irligi bor.</x:v>
      </x:c>
      <x:c r="G149" s="80" t="str"/>
      <x:c r="H149" s="80" t="str"/>
      <x:c r="I149" s="79" t="str">
        <x:v>Paket paketsiz 2,5 kilogramm va u bilan birga 2,8 kilogramm og'irligi bor.</x:v>
      </x:c>
      <x:c r="J149" s="80" t="str"/>
      <x:c r="K149" s="80" t="str"/>
      <x:c r="L149" s="80" t="str"/>
      <x:c r="M149" s="81" t="str"/>
      <x:c r="N149" s="82" t="str">
        <x:f>IF(F149=I149,"是","否")</x:f>
        <x:v>是</x:v>
      </x:c>
      <x:c r="O149" s="82" t="str">
        <x:f>IF(AND(G149&lt;&gt;"",J149&lt;&gt;""),"是","否")</x:f>
        <x:v>否</x:v>
      </x:c>
    </x:row>
    <x:row r="150" ht="54" customHeight="1">
      <x:c r="A150" s="78" t="str">
        <x:v>case-47cd469f8224eea3</x:v>
      </x:c>
      <x:c r="B150" s="78" t="str">
        <x:v>en</x:v>
      </x:c>
      <x:c r="C150" s="78" t="str">
        <x:v>zh</x:v>
      </x:c>
      <x:c r="D150" s="78" t="str">
        <x:v>出行</x:v>
      </x:c>
      <x:c r="E150" s="79" t="str">
        <x:v>Please drop us at the side entrance, not the main gate; our bags are already there.</x:v>
      </x:c>
      <x:c r="F150" s="79" t="str">
        <x:v>请把我们放在侧门,而不是主门;我们的行李已经在那里。</x:v>
      </x:c>
      <x:c r="G150" s="80" t="str"/>
      <x:c r="H150" s="80" t="str"/>
      <x:c r="I150" s="79" t="str">
        <x:v>请把我们放在侧门,不要在主门;我们的行李已经在那里了。</x:v>
      </x:c>
      <x:c r="J150" s="80" t="str"/>
      <x:c r="K150" s="80" t="str"/>
      <x:c r="L150" s="80" t="str"/>
      <x:c r="M150" s="81" t="str"/>
      <x:c r="N150" s="82" t="str">
        <x:f>IF(F150=I150,"是","否")</x:f>
        <x:v>否</x:v>
      </x:c>
      <x:c r="O150" s="82" t="str">
        <x:f>IF(AND(G150&lt;&gt;"",J150&lt;&gt;""),"是","否")</x:f>
        <x:v>否</x:v>
      </x:c>
    </x:row>
    <x:row r="151" ht="54" customHeight="1">
      <x:c r="A151" s="78" t="str">
        <x:v>case-0e671dda89a67cf8</x:v>
      </x:c>
      <x:c r="B151" s="78" t="str">
        <x:v>uz</x:v>
      </x:c>
      <x:c r="C151" s="78" t="str">
        <x:v>ru</x:v>
      </x:c>
      <x:c r="D151" s="78" t="str">
        <x:v>出行</x:v>
      </x:c>
      <x:c r="E151" s="79" t="str">
        <x:v>Bizga bir kechaga ikkita alohida karavotli xona kerak.</x:v>
      </x:c>
      <x:c r="F151" s="79" t="str">
        <x:v>Нам нужны две отдельные караватные комнаты за одну ночь.</x:v>
      </x:c>
      <x:c r="G151" s="80" t="str"/>
      <x:c r="H151" s="80" t="str"/>
      <x:c r="I151" s="79" t="str">
        <x:v>Нам нужны две отдельные караватные комнаты за одну ночь.</x:v>
      </x:c>
      <x:c r="J151" s="80" t="str"/>
      <x:c r="K151" s="80" t="str"/>
      <x:c r="L151" s="80" t="str"/>
      <x:c r="M151" s="81" t="str"/>
      <x:c r="N151" s="82" t="str">
        <x:f>IF(F151=I151,"是","否")</x:f>
        <x:v>是</x:v>
      </x:c>
      <x:c r="O151" s="82" t="str">
        <x:f>IF(AND(G151&lt;&gt;"",J151&lt;&gt;""),"是","否")</x:f>
        <x:v>否</x:v>
      </x:c>
    </x:row>
    <x:row r="152" ht="54" customHeight="1">
      <x:c r="A152" s="78" t="str">
        <x:v>case-6317ec71b19abf02</x:v>
      </x:c>
      <x:c r="B152" s="78" t="str">
        <x:v>ru</x:v>
      </x:c>
      <x:c r="C152" s="78" t="str">
        <x:v>uz</x:v>
      </x:c>
      <x:c r="D152" s="78" t="str">
        <x:v>售后</x:v>
      </x:c>
      <x:c r="E152" s="79" t="str">
        <x:v>Телефон заряжается, но компьютер его не распознаёт. Я уже попробовал другой кабель.</x:v>
      </x:c>
      <x:c r="F152" s="79" t="str">
        <x:v>Telefon zaryadlanadi, lekin kompyuter uni tanib bo'lmaydi. Men boshqa kabelni sinab ko'rdim.</x:v>
      </x:c>
      <x:c r="G152" s="80" t="str"/>
      <x:c r="H152" s="80" t="str"/>
      <x:c r="I152" s="79" t="str">
        <x:v>Telefon zaryadlanadi, lekin kompyuter uni tanira olmaydi. Men boshqa kabelni sinab ko'rdim.</x:v>
      </x:c>
      <x:c r="J152" s="80" t="str"/>
      <x:c r="K152" s="80" t="str"/>
      <x:c r="L152" s="80" t="str"/>
      <x:c r="M152" s="81" t="str"/>
      <x:c r="N152" s="82" t="str">
        <x:f>IF(F152=I152,"是","否")</x:f>
        <x:v>否</x:v>
      </x:c>
      <x:c r="O152" s="82" t="str">
        <x:f>IF(AND(G152&lt;&gt;"",J152&lt;&gt;""),"是","否")</x:f>
        <x:v>否</x:v>
      </x:c>
    </x:row>
    <x:row r="153" ht="54" customHeight="1">
      <x:c r="A153" s="78" t="str">
        <x:v>case-c68ddda4628375a1</x:v>
      </x:c>
      <x:c r="B153" s="78" t="str">
        <x:v>en</x:v>
      </x:c>
      <x:c r="C153" s="78" t="str">
        <x:v>uz</x:v>
      </x:c>
      <x:c r="D153" s="78" t="str">
        <x:v>工作学习</x:v>
      </x:c>
      <x:c r="E153" s="79" t="str">
        <x:v>Don't replace the original file. Save your changes as a separate copy.</x:v>
      </x:c>
      <x:c r="F153" s="79" t="str">
        <x:v>Asl faylni almashtirmang. O'zgarishlaringizni alohida nusxa sifatida saqlang.</x:v>
      </x:c>
      <x:c r="G153" s="80" t="str"/>
      <x:c r="H153" s="80" t="str"/>
      <x:c r="I153" s="79" t="str">
        <x:v>Asl faylni almashtirmang. O'zgarishlaringizni alohida nusxa sifatida saqlang.</x:v>
      </x:c>
      <x:c r="J153" s="80" t="str"/>
      <x:c r="K153" s="80" t="str"/>
      <x:c r="L153" s="80" t="str"/>
      <x:c r="M153" s="81" t="str"/>
      <x:c r="N153" s="82" t="str">
        <x:f>IF(F153=I153,"是","否")</x:f>
        <x:v>是</x:v>
      </x:c>
      <x:c r="O153" s="82" t="str">
        <x:f>IF(AND(G153&lt;&gt;"",J153&lt;&gt;""),"是","否")</x:f>
        <x:v>否</x:v>
      </x:c>
    </x:row>
    <x:row r="154" ht="54" customHeight="1">
      <x:c r="A154" s="78" t="str">
        <x:v>case-b403a7eb9382064c</x:v>
      </x:c>
      <x:c r="B154" s="78" t="str">
        <x:v>zh</x:v>
      </x:c>
      <x:c r="C154" s="78" t="str">
        <x:v>ru</x:v>
      </x:c>
      <x:c r="D154" s="78" t="str">
        <x:v>日常</x:v>
      </x:c>
      <x:c r="E154" s="79" t="str">
        <x:v>小林把钥匙交给了小周，请你联系小周取钥匙。</x:v>
      </x:c>
      <x:c r="F154" s="79" t="str">
        <x:v>Маленький Лин дал ключи Малой Сейко, пожалуйста, свяжитесь с Малой Сейко, чтобы получить ключ.</x:v>
      </x:c>
      <x:c r="G154" s="80" t="str"/>
      <x:c r="H154" s="80" t="str"/>
      <x:c r="I154" s="79" t="str">
        <x:v>Маленький Лин дал Кико ключи, свяжитесь с Кико, пожалуйста, и возьмите ключи.</x:v>
      </x:c>
      <x:c r="J154" s="80" t="str"/>
      <x:c r="K154" s="80" t="str"/>
      <x:c r="L154" s="80" t="str"/>
      <x:c r="M154" s="81" t="str"/>
      <x:c r="N154" s="82" t="str">
        <x:f>IF(F154=I154,"是","否")</x:f>
        <x:v>否</x:v>
      </x:c>
      <x:c r="O154" s="82" t="str">
        <x:f>IF(AND(G154&lt;&gt;"",J154&lt;&gt;""),"是","否")</x:f>
        <x:v>否</x:v>
      </x:c>
    </x:row>
    <x:row r="155" ht="54" customHeight="1">
      <x:c r="A155" s="78" t="str">
        <x:v>case-393d3826c1b5ec3e</x:v>
      </x:c>
      <x:c r="B155" s="78" t="str">
        <x:v>zh</x:v>
      </x:c>
      <x:c r="C155" s="78" t="str">
        <x:v>ru</x:v>
      </x:c>
      <x:c r="D155" s="78" t="str">
        <x:v>日常</x:v>
      </x:c>
      <x:c r="E155" s="79" t="str">
        <x:v>这两杯都不要加糖，其中一杯少放冰。</x:v>
      </x:c>
      <x:c r="F155" s="79" t="str">
        <x:v>Не добавляйте сахара ни в одном из этих стаканов, оставляйте один с мороженым.</x:v>
      </x:c>
      <x:c r="G155" s="80" t="str"/>
      <x:c r="H155" s="80" t="str"/>
      <x:c r="I155" s="79" t="str">
        <x:v>Не добавляйте сахара ни в одной из этих чашек, оставляйте одну с мороженым.</x:v>
      </x:c>
      <x:c r="J155" s="80" t="str"/>
      <x:c r="K155" s="80" t="str"/>
      <x:c r="L155" s="80" t="str"/>
      <x:c r="M155" s="81" t="str"/>
      <x:c r="N155" s="82" t="str">
        <x:f>IF(F155=I155,"是","否")</x:f>
        <x:v>否</x:v>
      </x:c>
      <x:c r="O155" s="82" t="str">
        <x:f>IF(AND(G155&lt;&gt;"",J155&lt;&gt;""),"是","否")</x:f>
        <x:v>否</x:v>
      </x:c>
    </x:row>
    <x:row r="156" ht="54" customHeight="1">
      <x:c r="A156" s="78" t="str">
        <x:v>case-f786dc49fe0a52a2</x:v>
      </x:c>
      <x:c r="B156" s="78" t="str">
        <x:v>zh</x:v>
      </x:c>
      <x:c r="C156" s="78" t="str">
        <x:v>en</x:v>
      </x:c>
      <x:c r="D156" s="78" t="str">
        <x:v>出行</x:v>
      </x:c>
      <x:c r="E156" s="79" t="str">
        <x:v>这张票只能在今天使用，明天乘车需要另外买票。</x:v>
      </x:c>
      <x:c r="F156" s="79" t="str">
        <x:v>This ticket can only be used today, and you will need to buy an additional ticket by car tomorrow.</x:v>
      </x:c>
      <x:c r="G156" s="80" t="str"/>
      <x:c r="H156" s="80" t="str"/>
      <x:c r="I156" s="79" t="str">
        <x:v>This ticket can only be used today, and you will need to buy an additional ticket by car tomorrow.</x:v>
      </x:c>
      <x:c r="J156" s="80" t="str"/>
      <x:c r="K156" s="80" t="str"/>
      <x:c r="L156" s="80" t="str"/>
      <x:c r="M156" s="81" t="str"/>
      <x:c r="N156" s="82" t="str">
        <x:f>IF(F156=I156,"是","否")</x:f>
        <x:v>是</x:v>
      </x:c>
      <x:c r="O156" s="82" t="str">
        <x:f>IF(AND(G156&lt;&gt;"",J156&lt;&gt;""),"是","否")</x:f>
        <x:v>否</x:v>
      </x:c>
    </x:row>
    <x:row r="157" ht="54" customHeight="1">
      <x:c r="A157" s="78" t="str">
        <x:v>case-765fc7bed0b31924</x:v>
      </x:c>
      <x:c r="B157" s="78" t="str">
        <x:v>en</x:v>
      </x:c>
      <x:c r="C157" s="78" t="str">
        <x:v>ru</x:v>
      </x:c>
      <x:c r="D157" s="78" t="str">
        <x:v>日常</x:v>
      </x:c>
      <x:c r="E157" s="79" t="str">
        <x:v>Keep one slice for Sam and share the rest between the two of you.</x:v>
      </x:c>
      <x:c r="F157" s="79" t="str">
        <x:v>Оставьте один кусок для Сэма и делите остальное между собой.</x:v>
      </x:c>
      <x:c r="G157" s="80" t="str"/>
      <x:c r="H157" s="80" t="str"/>
      <x:c r="I157" s="79" t="str">
        <x:v>Оставьте один кусок для Сэма и делите остальное между собой.</x:v>
      </x:c>
      <x:c r="J157" s="80" t="str"/>
      <x:c r="K157" s="80" t="str"/>
      <x:c r="L157" s="80" t="str"/>
      <x:c r="M157" s="81" t="str"/>
      <x:c r="N157" s="82" t="str">
        <x:f>IF(F157=I157,"是","否")</x:f>
        <x:v>是</x:v>
      </x:c>
      <x:c r="O157" s="82" t="str">
        <x:f>IF(AND(G157&lt;&gt;"",J157&lt;&gt;""),"是","否")</x:f>
        <x:v>否</x:v>
      </x:c>
    </x:row>
    <x:row r="158" ht="54" customHeight="1">
      <x:c r="A158" s="78" t="str">
        <x:v>case-50b1d41aa437a04f</x:v>
      </x:c>
      <x:c r="B158" s="78" t="str">
        <x:v>en</x:v>
      </x:c>
      <x:c r="C158" s="78" t="str">
        <x:v>zh</x:v>
      </x:c>
      <x:c r="D158" s="78" t="str">
        <x:v>工作学习</x:v>
      </x:c>
      <x:c r="E158" s="79" t="str">
        <x:v>The parcel weighs 2.5 kilograms without the packaging and 2.8 kilograms with it.</x:v>
      </x:c>
      <x:c r="F158" s="79" t="str">
        <x:v>包裹在没有包装的情况下重2.5公斤,在包装的情况下重2.8公斤。</x:v>
      </x:c>
      <x:c r="G158" s="80" t="str"/>
      <x:c r="H158" s="80" t="str"/>
      <x:c r="I158" s="79" t="str">
        <x:v>包裹在没有包装的情况下重2.5公斤,在包装的情况下重2.8公斤。</x:v>
      </x:c>
      <x:c r="J158" s="80" t="str"/>
      <x:c r="K158" s="80" t="str"/>
      <x:c r="L158" s="80" t="str"/>
      <x:c r="M158" s="81" t="str"/>
      <x:c r="N158" s="82" t="str">
        <x:f>IF(F158=I158,"是","否")</x:f>
        <x:v>是</x:v>
      </x:c>
      <x:c r="O158" s="82" t="str">
        <x:f>IF(AND(G158&lt;&gt;"",J158&lt;&gt;""),"是","否")</x:f>
        <x:v>否</x:v>
      </x:c>
    </x:row>
    <x:row r="159" ht="54" customHeight="1">
      <x:c r="A159" s="78" t="str">
        <x:v>case-fbcbae9892fefe2d</x:v>
      </x:c>
      <x:c r="B159" s="78" t="str">
        <x:v>uz</x:v>
      </x:c>
      <x:c r="C159" s="78" t="str">
        <x:v>en</x:v>
      </x:c>
      <x:c r="D159" s="78" t="str">
        <x:v>工作学习</x:v>
      </x:c>
      <x:c r="E159" s="79" t="str">
        <x:v>Hisobotni bugun yuborish shart emas, lekin ertaga soat to'qqizgacha tayyor bo'lishi kerak.</x:v>
      </x:c>
      <x:c r="F159" s="79" t="str">
        <x:v>It is not necessary to send the report today, but it should be ready by nine tomorrow.</x:v>
      </x:c>
      <x:c r="G159" s="80" t="str"/>
      <x:c r="H159" s="80" t="str"/>
      <x:c r="I159" s="79" t="str">
        <x:v>It is not necessary to send the report today, but it should be ready by nine tomorrow.</x:v>
      </x:c>
      <x:c r="J159" s="80" t="str"/>
      <x:c r="K159" s="80" t="str"/>
      <x:c r="L159" s="80" t="str"/>
      <x:c r="M159" s="81" t="str"/>
      <x:c r="N159" s="82" t="str">
        <x:f>IF(F159=I159,"是","否")</x:f>
        <x:v>是</x:v>
      </x:c>
      <x:c r="O159" s="82" t="str">
        <x:f>IF(AND(G159&lt;&gt;"",J159&lt;&gt;""),"是","否")</x:f>
        <x:v>否</x:v>
      </x:c>
    </x:row>
    <x:row r="160" ht="54" customHeight="1">
      <x:c r="A160" s="78" t="str">
        <x:v>case-3b2bfd743500d6c6</x:v>
      </x:c>
      <x:c r="B160" s="78" t="str">
        <x:v>en</x:v>
      </x:c>
      <x:c r="C160" s="78" t="str">
        <x:v>uz</x:v>
      </x:c>
      <x:c r="D160" s="78" t="str">
        <x:v>日常</x:v>
      </x:c>
      <x:c r="E160" s="79" t="str">
        <x:v>Could we talk somewhere quieter? I can hear you, but I can't make out every word.</x:v>
      </x:c>
      <x:c r="F160" s="79" t="str">
        <x:v>Sizni tinglay olaman, lekin har bir so'zni tushunolmayman.</x:v>
      </x:c>
      <x:c r="G160" s="80" t="str"/>
      <x:c r="H160" s="80" t="str"/>
      <x:c r="I160" s="79" t="str">
        <x:v>Biz bir joyda sessizroq gaplashsak bo'ladimi? Men sizni eshitaman, lekin har bir so'zni aniqlay olmayman.</x:v>
      </x:c>
      <x:c r="J160" s="80" t="str"/>
      <x:c r="K160" s="80" t="str"/>
      <x:c r="L160" s="80" t="str"/>
      <x:c r="M160" s="81" t="str"/>
      <x:c r="N160" s="82" t="str">
        <x:f>IF(F160=I160,"是","否")</x:f>
        <x:v>否</x:v>
      </x:c>
      <x:c r="O160" s="82" t="str">
        <x:f>IF(AND(G160&lt;&gt;"",J160&lt;&gt;""),"是","否")</x:f>
        <x:v>否</x:v>
      </x:c>
    </x:row>
    <x:row r="161" ht="54" customHeight="1">
      <x:c r="A161" s="78" t="str">
        <x:v>case-25250f27e3947ee2</x:v>
      </x:c>
      <x:c r="B161" s="78" t="str">
        <x:v>zh</x:v>
      </x:c>
      <x:c r="C161" s="78" t="str">
        <x:v>ru</x:v>
      </x:c>
      <x:c r="D161" s="78" t="str">
        <x:v>工作学习</x:v>
      </x:c>
      <x:c r="E161" s="79" t="str">
        <x:v>如果测试没有通过，我们就推迟发布；否则按原计划进行。</x:v>
      </x:c>
      <x:c r="F161" s="79" t="str">
        <x:v>Если тест не пройдет, мы отложим его; в противном случае он будет проводиться по плану.</x:v>
      </x:c>
      <x:c r="G161" s="80" t="str"/>
      <x:c r="H161" s="80" t="str"/>
      <x:c r="I161" s="79" t="str">
        <x:v>Если тест не пройдет, мы отложим его; в противном случае он будет проводиться по плану.</x:v>
      </x:c>
      <x:c r="J161" s="80" t="str"/>
      <x:c r="K161" s="80" t="str"/>
      <x:c r="L161" s="80" t="str"/>
      <x:c r="M161" s="81" t="str"/>
      <x:c r="N161" s="82" t="str">
        <x:f>IF(F161=I161,"是","否")</x:f>
        <x:v>是</x:v>
      </x:c>
      <x:c r="O161" s="82" t="str">
        <x:f>IF(AND(G161&lt;&gt;"",J161&lt;&gt;""),"是","否")</x:f>
        <x:v>否</x:v>
      </x:c>
    </x:row>
    <x:row r="162" ht="54" customHeight="1">
      <x:c r="A162" s="78" t="str">
        <x:v>case-2d6abd8e0fb4c8fa</x:v>
      </x:c>
      <x:c r="B162" s="78" t="str">
        <x:v>ru</x:v>
      </x:c>
      <x:c r="C162" s="78" t="str">
        <x:v>en</x:v>
      </x:c>
      <x:c r="D162" s="78" t="str">
        <x:v>工作学习</x:v>
      </x:c>
      <x:c r="E162" s="79" t="str">
        <x:v>Сначала отключите питание, затем отсоедините кабель. Не меняйте порядок действий.</x:v>
      </x:c>
      <x:c r="F162" s="79" t="str">
        <x:v>First, disconnect the power supply, then disconnect the cable. Do not change the order of action.</x:v>
      </x:c>
      <x:c r="G162" s="80" t="str"/>
      <x:c r="H162" s="80" t="str"/>
      <x:c r="I162" s="79" t="str">
        <x:v>First, disconnect the power supply, then disconnect the cable. Do not change the order of action.</x:v>
      </x:c>
      <x:c r="J162" s="80" t="str"/>
      <x:c r="K162" s="80" t="str"/>
      <x:c r="L162" s="80" t="str"/>
      <x:c r="M162" s="81" t="str"/>
      <x:c r="N162" s="82" t="str">
        <x:f>IF(F162=I162,"是","否")</x:f>
        <x:v>是</x:v>
      </x:c>
      <x:c r="O162" s="82" t="str">
        <x:f>IF(AND(G162&lt;&gt;"",J162&lt;&gt;""),"是","否")</x:f>
        <x:v>否</x:v>
      </x:c>
    </x:row>
    <x:row r="163" ht="54" customHeight="1">
      <x:c r="A163" s="78" t="str">
        <x:v>case-73edcc31c9a6380f</x:v>
      </x:c>
      <x:c r="B163" s="78" t="str">
        <x:v>ru</x:v>
      </x:c>
      <x:c r="C163" s="78" t="str">
        <x:v>uz</x:v>
      </x:c>
      <x:c r="D163" s="78" t="str">
        <x:v>出行</x:v>
      </x:c>
      <x:c r="E163" s="79" t="str">
        <x:v>Пожалуйста, отвезите меня к старому вокзалу, не к новому терминалу за городом.</x:v>
      </x:c>
      <x:c r="F163" s="79" t="str">
        <x:v>Iltimos, meni eski stansiyaga, shahar tashqarisidagi yangi terminalga olib boring.</x:v>
      </x:c>
      <x:c r="G163" s="80" t="str"/>
      <x:c r="H163" s="80" t="str"/>
      <x:c r="I163" s="79" t="str">
        <x:v>Iltimos meni eski stansiyaga olib boring, shahar tashqarisidagi yangi terminalga emas.</x:v>
      </x:c>
      <x:c r="J163" s="80" t="str"/>
      <x:c r="K163" s="80" t="str"/>
      <x:c r="L163" s="80" t="str"/>
      <x:c r="M163" s="81" t="str"/>
      <x:c r="N163" s="82" t="str">
        <x:f>IF(F163=I163,"是","否")</x:f>
        <x:v>否</x:v>
      </x:c>
      <x:c r="O163" s="82" t="str">
        <x:f>IF(AND(G163&lt;&gt;"",J163&lt;&gt;""),"是","否")</x:f>
        <x:v>否</x:v>
      </x:c>
    </x:row>
    <x:row r="164" ht="54" customHeight="1">
      <x:c r="A164" s="78" t="str">
        <x:v>case-de48acdc712f88ca</x:v>
      </x:c>
      <x:c r="B164" s="78" t="str">
        <x:v>zh</x:v>
      </x:c>
      <x:c r="C164" s="78" t="str">
        <x:v>uz</x:v>
      </x:c>
      <x:c r="D164" s="78" t="str">
        <x:v>售后</x:v>
      </x:c>
      <x:c r="E164" s="79" t="str">
        <x:v>屏幕没有裂，但右上角一直不响应触摸。</x:v>
      </x:c>
      <x:c r="F164" s="79" t="str">
        <x:v>Ekran parchalanmagan, ammo yuqori o'ng burchakda to'qnashuvga javob yo'q edi.</x:v>
      </x:c>
      <x:c r="G164" s="80" t="str"/>
      <x:c r="H164" s="80" t="str"/>
      <x:c r="I164" s="79" t="str">
        <x:v>Ekran parchalanmagan, ammo yuqori o'ng burchakda hech qachon tegishga javob bermagan.</x:v>
      </x:c>
      <x:c r="J164" s="80" t="str"/>
      <x:c r="K164" s="80" t="str"/>
      <x:c r="L164" s="80" t="str"/>
      <x:c r="M164" s="81" t="str"/>
      <x:c r="N164" s="82" t="str">
        <x:f>IF(F164=I164,"是","否")</x:f>
        <x:v>否</x:v>
      </x:c>
      <x:c r="O164" s="82" t="str">
        <x:f>IF(AND(G164&lt;&gt;"",J164&lt;&gt;""),"是","否")</x:f>
        <x:v>否</x:v>
      </x:c>
    </x:row>
    <x:row r="165" ht="54" customHeight="1">
      <x:c r="A165" s="78" t="str">
        <x:v>case-0c357c114c22775d</x:v>
      </x:c>
      <x:c r="B165" s="78" t="str">
        <x:v>zh</x:v>
      </x:c>
      <x:c r="C165" s="78" t="str">
        <x:v>en</x:v>
      </x:c>
      <x:c r="D165" s="78" t="str">
        <x:v>售后</x:v>
      </x:c>
      <x:c r="E165" s="79" t="str">
        <x:v>我订的是蓝色大号，收到的却是黑色中号，请帮我换货。</x:v>
      </x:c>
      <x:c r="F165" s="79" t="str">
        <x:v>I ordered the blue one, but I got the black one, so please help me change it.</x:v>
      </x:c>
      <x:c r="G165" s="80" t="str"/>
      <x:c r="H165" s="80" t="str"/>
      <x:c r="I165" s="79" t="str">
        <x:v>I ordered the blue size, but I got the black middle size, please help me change it.</x:v>
      </x:c>
      <x:c r="J165" s="80" t="str"/>
      <x:c r="K165" s="80" t="str"/>
      <x:c r="L165" s="80" t="str"/>
      <x:c r="M165" s="81" t="str"/>
      <x:c r="N165" s="82" t="str">
        <x:f>IF(F165=I165,"是","否")</x:f>
        <x:v>否</x:v>
      </x:c>
      <x:c r="O165" s="82" t="str">
        <x:f>IF(AND(G165&lt;&gt;"",J165&lt;&gt;""),"是","否")</x:f>
        <x:v>否</x:v>
      </x:c>
    </x:row>
    <x:row r="166" ht="54" customHeight="1">
      <x:c r="A166" s="78" t="str">
        <x:v>case-aadfa48dbec9c367</x:v>
      </x:c>
      <x:c r="B166" s="78" t="str">
        <x:v>zh</x:v>
      </x:c>
      <x:c r="C166" s="78" t="str">
        <x:v>uz</x:v>
      </x:c>
      <x:c r="D166" s="78" t="str">
        <x:v>工作学习</x:v>
      </x:c>
      <x:c r="E166" s="79" t="str">
        <x:v>如果测试没有通过，我们就推迟发布；否则按原计划进行。</x:v>
      </x:c>
      <x:c r="F166" s="79" t="str">
        <x:v>Agar sinov muvaffaqiyatsiz tugasa, biz nashrni kechiktiramiz; aks holda, dastlabki rejalarga muvofiq amalga oshiriladi.</x:v>
      </x:c>
      <x:c r="G166" s="80" t="str"/>
      <x:c r="H166" s="80" t="str"/>
      <x:c r="I166" s="79" t="str">
        <x:v>Agar sinov o'tkazilmasa, biz nashrni kechiktiramiz; aks holda, dastlabki reja bo'yicha olib boramiz.</x:v>
      </x:c>
      <x:c r="J166" s="80" t="str"/>
      <x:c r="K166" s="80" t="str"/>
      <x:c r="L166" s="80" t="str"/>
      <x:c r="M166" s="81" t="str"/>
      <x:c r="N166" s="82" t="str">
        <x:f>IF(F166=I166,"是","否")</x:f>
        <x:v>否</x:v>
      </x:c>
      <x:c r="O166" s="82" t="str">
        <x:f>IF(AND(G166&lt;&gt;"",J166&lt;&gt;""),"是","否")</x:f>
        <x:v>否</x:v>
      </x:c>
    </x:row>
    <x:row r="167" ht="54" customHeight="1">
      <x:c r="A167" s="78" t="str">
        <x:v>case-f169680d904d5e8b</x:v>
      </x:c>
      <x:c r="B167" s="78" t="str">
        <x:v>zh</x:v>
      </x:c>
      <x:c r="C167" s="78" t="str">
        <x:v>ru</x:v>
      </x:c>
      <x:c r="D167" s="78" t="str">
        <x:v>日常</x:v>
      </x:c>
      <x:c r="E167" s="79" t="str">
        <x:v>如果你先到，请在楼下等我，不要直接上三楼。</x:v>
      </x:c>
      <x:c r="F167" s="79" t="str">
        <x:v>Если вы приехали первыми, пожалуйста, подождите меня внизу, а не прямо на третий этаж.</x:v>
      </x:c>
      <x:c r="G167" s="80" t="str"/>
      <x:c r="H167" s="80" t="str"/>
      <x:c r="I167" s="79" t="str">
        <x:v>Если вы придете первым, подождите меня внизу, а не прямо на третий этаж.</x:v>
      </x:c>
      <x:c r="J167" s="80" t="str"/>
      <x:c r="K167" s="80" t="str"/>
      <x:c r="L167" s="80" t="str"/>
      <x:c r="M167" s="81" t="str"/>
      <x:c r="N167" s="82" t="str">
        <x:f>IF(F167=I167,"是","否")</x:f>
        <x:v>否</x:v>
      </x:c>
      <x:c r="O167" s="82" t="str">
        <x:f>IF(AND(G167&lt;&gt;"",J167&lt;&gt;""),"是","否")</x:f>
        <x:v>否</x:v>
      </x:c>
    </x:row>
    <x:row r="168" ht="54" customHeight="1">
      <x:c r="A168" s="78" t="str">
        <x:v>case-c48c7e9683714c99</x:v>
      </x:c>
      <x:c r="B168" s="78" t="str">
        <x:v>zh</x:v>
      </x:c>
      <x:c r="C168" s="78" t="str">
        <x:v>en</x:v>
      </x:c>
      <x:c r="D168" s="78" t="str">
        <x:v>出行</x:v>
      </x:c>
      <x:c r="E168" s="79" t="str">
        <x:v>请把周四下午两点的预约改到周五上午十点，不要取消预约。</x:v>
      </x:c>
      <x:c r="F168" s="79" t="str">
        <x:v>Please change your appointment from Thursday afternoon at two to Friday morning at ten, and don't cancel your appointment.</x:v>
      </x:c>
      <x:c r="G168" s="80" t="str"/>
      <x:c r="H168" s="80" t="str"/>
      <x:c r="I168" s="79" t="str">
        <x:v>Please change the appointment from Thursday afternoon at two to Friday morning at ten, and do not cancel the appointment.</x:v>
      </x:c>
      <x:c r="J168" s="80" t="str"/>
      <x:c r="K168" s="80" t="str"/>
      <x:c r="L168" s="80" t="str"/>
      <x:c r="M168" s="81" t="str"/>
      <x:c r="N168" s="82" t="str">
        <x:f>IF(F168=I168,"是","否")</x:f>
        <x:v>否</x:v>
      </x:c>
      <x:c r="O168" s="82" t="str">
        <x:f>IF(AND(G168&lt;&gt;"",J168&lt;&gt;""),"是","否")</x:f>
        <x:v>否</x:v>
      </x:c>
    </x:row>
    <x:row r="169" ht="54" customHeight="1">
      <x:c r="A169" s="78" t="str">
        <x:v>case-db02309261778851</x:v>
      </x:c>
      <x:c r="B169" s="78" t="str">
        <x:v>uz</x:v>
      </x:c>
      <x:c r="C169" s="78" t="str">
        <x:v>en</x:v>
      </x:c>
      <x:c r="D169" s="78" t="str">
        <x:v>工作学习</x:v>
      </x:c>
      <x:c r="E169" s="79" t="str">
        <x:v>Jadvaldagi narxlar bir dona uchun berilgan, butun quti uchun emas.</x:v>
      </x:c>
      <x:c r="F169" s="79" t="str">
        <x:v>The prices in the table are given for one piece, not for the entire box.</x:v>
      </x:c>
      <x:c r="G169" s="80" t="str"/>
      <x:c r="H169" s="80" t="str"/>
      <x:c r="I169" s="79" t="str">
        <x:v>The prices in the table are given for one piece, not for the whole box.</x:v>
      </x:c>
      <x:c r="J169" s="80" t="str"/>
      <x:c r="K169" s="80" t="str"/>
      <x:c r="L169" s="80" t="str"/>
      <x:c r="M169" s="81" t="str"/>
      <x:c r="N169" s="82" t="str">
        <x:f>IF(F169=I169,"是","否")</x:f>
        <x:v>否</x:v>
      </x:c>
      <x:c r="O169" s="82" t="str">
        <x:f>IF(AND(G169&lt;&gt;"",J169&lt;&gt;""),"是","否")</x:f>
        <x:v>否</x:v>
      </x:c>
    </x:row>
    <x:row r="170" ht="54" customHeight="1">
      <x:c r="A170" s="78" t="str">
        <x:v>case-d0c21dea495ba4ee</x:v>
      </x:c>
      <x:c r="B170" s="78" t="str">
        <x:v>ru</x:v>
      </x:c>
      <x:c r="C170" s="78" t="str">
        <x:v>zh</x:v>
      </x:c>
      <x:c r="D170" s="78" t="str">
        <x:v>工作学习</x:v>
      </x:c>
      <x:c r="E170" s="79" t="str">
        <x:v>Проверьте, пожалуйста, итоговую сумму: скидка уже учтена, а доставка ещё нет.</x:v>
      </x:c>
      <x:c r="F170" s="79" t="str">
        <x:v>请检查最后一笔钱:折扣已经被计入,还没到货。</x:v>
      </x:c>
      <x:c r="G170" s="80" t="str"/>
      <x:c r="H170" s="80" t="str"/>
      <x:c r="I170" s="79" t="str">
        <x:v>请检查最终金额:折扣已经被考虑在内,还没有到达。</x:v>
      </x:c>
      <x:c r="J170" s="80" t="str"/>
      <x:c r="K170" s="80" t="str"/>
      <x:c r="L170" s="80" t="str"/>
      <x:c r="M170" s="81" t="str"/>
      <x:c r="N170" s="82" t="str">
        <x:f>IF(F170=I170,"是","否")</x:f>
        <x:v>否</x:v>
      </x:c>
      <x:c r="O170" s="82" t="str">
        <x:f>IF(AND(G170&lt;&gt;"",J170&lt;&gt;""),"是","否")</x:f>
        <x:v>否</x:v>
      </x:c>
    </x:row>
    <x:row r="171" ht="54" customHeight="1">
      <x:c r="A171" s="78" t="str">
        <x:v>case-5ddbe58987cd7386</x:v>
      </x:c>
      <x:c r="B171" s="78" t="str">
        <x:v>zh</x:v>
      </x:c>
      <x:c r="C171" s="78" t="str">
        <x:v>uz</x:v>
      </x:c>
      <x:c r="D171" s="78" t="str">
        <x:v>工作学习</x:v>
      </x:c>
      <x:c r="E171" s="79" t="str">
        <x:v>请在提交报告之前核对附件中的数字，正文暂时不用修改。</x:v>
      </x:c>
      <x:c r="F171" s="79" t="str">
        <x:v>Iltimos, hisobotni taqdim etishdan oldin ilovalardagi raqamlarni tekshirib ko'ring, asl matn vaqtincha o'zgartirilmaydi.</x:v>
      </x:c>
      <x:c r="G171" s="80" t="str"/>
      <x:c r="H171" s="80" t="str"/>
      <x:c r="I171" s="79" t="str">
        <x:v>Hisobotni taqdim etishdan oldin ilovalardagi raqamlarni tekshirib ko'ring, asl matn vaqtincha o'zgarishga muhtoj emas.</x:v>
      </x:c>
      <x:c r="J171" s="80" t="str"/>
      <x:c r="K171" s="80" t="str"/>
      <x:c r="L171" s="80" t="str"/>
      <x:c r="M171" s="81" t="str"/>
      <x:c r="N171" s="82" t="str">
        <x:f>IF(F171=I171,"是","否")</x:f>
        <x:v>否</x:v>
      </x:c>
      <x:c r="O171" s="82" t="str">
        <x:f>IF(AND(G171&lt;&gt;"",J171&lt;&gt;""),"是","否")</x:f>
        <x:v>否</x:v>
      </x:c>
    </x:row>
    <x:row r="172" ht="54" customHeight="1">
      <x:c r="A172" s="78" t="str">
        <x:v>case-a3da7c946e3c9106</x:v>
      </x:c>
      <x:c r="B172" s="78" t="str">
        <x:v>zh</x:v>
      </x:c>
      <x:c r="C172" s="78" t="str">
        <x:v>en</x:v>
      </x:c>
      <x:c r="D172" s="78" t="str">
        <x:v>工作学习</x:v>
      </x:c>
      <x:c r="E172" s="79" t="str">
        <x:v>请在提交报告之前核对附件中的数字，正文暂时不用修改。</x:v>
      </x:c>
      <x:c r="F172" s="79" t="str">
        <x:v>Please verify the numbers in the attachment before submitting the report, the original text does not need to be modified for the time being.</x:v>
      </x:c>
      <x:c r="G172" s="80" t="str"/>
      <x:c r="H172" s="80" t="str"/>
      <x:c r="I172" s="79" t="str">
        <x:v>Please check the numbers in the annex before submitting the report, the original text does not need to be modified temporarily.</x:v>
      </x:c>
      <x:c r="J172" s="80" t="str"/>
      <x:c r="K172" s="80" t="str"/>
      <x:c r="L172" s="80" t="str"/>
      <x:c r="M172" s="81" t="str"/>
      <x:c r="N172" s="82" t="str">
        <x:f>IF(F172=I172,"是","否")</x:f>
        <x:v>否</x:v>
      </x:c>
      <x:c r="O172" s="82" t="str">
        <x:f>IF(AND(G172&lt;&gt;"",J172&lt;&gt;""),"是","否")</x:f>
        <x:v>否</x:v>
      </x:c>
    </x:row>
    <x:row r="173" ht="54" customHeight="1">
      <x:c r="A173" s="78" t="str">
        <x:v>case-088403a08f16df67</x:v>
      </x:c>
      <x:c r="B173" s="78" t="str">
        <x:v>ru</x:v>
      </x:c>
      <x:c r="C173" s="78" t="str">
        <x:v>uz</x:v>
      </x:c>
      <x:c r="D173" s="78" t="str">
        <x:v>工作学习</x:v>
      </x:c>
      <x:c r="E173" s="79" t="str">
        <x:v>Отправьте документ всем участникам, кроме тех, кто уже получил его вчера.</x:v>
      </x:c>
      <x:c r="F173" s="79" t="str">
        <x:v>Hujjatni kecha qabul qilganlardan tashqari barcha ishtirokchilarga jo'nating.</x:v>
      </x:c>
      <x:c r="G173" s="80" t="str"/>
      <x:c r="H173" s="80" t="str"/>
      <x:c r="I173" s="79" t="str">
        <x:v>Hujjatni o'sha kuni qabul qilganlardan tashqari barcha ishtirokchilarga jo'nating.</x:v>
      </x:c>
      <x:c r="J173" s="80" t="str"/>
      <x:c r="K173" s="80" t="str"/>
      <x:c r="L173" s="80" t="str"/>
      <x:c r="M173" s="81" t="str"/>
      <x:c r="N173" s="82" t="str">
        <x:f>IF(F173=I173,"是","否")</x:f>
        <x:v>否</x:v>
      </x:c>
      <x:c r="O173" s="82" t="str">
        <x:f>IF(AND(G173&lt;&gt;"",J173&lt;&gt;""),"是","否")</x:f>
        <x:v>否</x:v>
      </x:c>
    </x:row>
    <x:row r="174" ht="54" customHeight="1">
      <x:c r="A174" s="78" t="str">
        <x:v>case-8827e54b3603893c</x:v>
      </x:c>
      <x:c r="B174" s="78" t="str">
        <x:v>en</x:v>
      </x:c>
      <x:c r="C174" s="78" t="str">
        <x:v>uz</x:v>
      </x:c>
      <x:c r="D174" s="78" t="str">
        <x:v>日常</x:v>
      </x:c>
      <x:c r="E174" s="79" t="str">
        <x:v>I can lend you the umbrella, but please bring it back before I leave tomorrow morning.</x:v>
      </x:c>
      <x:c r="F174" s="79" t="str">
        <x:v>Men sizga omborchani bersam bo'ladi, lekin ertaga ertalab ketishdan oldin uni qaytarib bering.</x:v>
      </x:c>
      <x:c r="G174" s="80" t="str"/>
      <x:c r="H174" s="80" t="str"/>
      <x:c r="I174" s="79" t="str">
        <x:v>Men sizga payvandni bersam bo'ladi, lekin ertaga ertalab ketishdan oldin uni qaytarib bering.</x:v>
      </x:c>
      <x:c r="J174" s="80" t="str"/>
      <x:c r="K174" s="80" t="str"/>
      <x:c r="L174" s="80" t="str"/>
      <x:c r="M174" s="81" t="str"/>
      <x:c r="N174" s="82" t="str">
        <x:f>IF(F174=I174,"是","否")</x:f>
        <x:v>否</x:v>
      </x:c>
      <x:c r="O174" s="82" t="str">
        <x:f>IF(AND(G174&lt;&gt;"",J174&lt;&gt;""),"是","否")</x:f>
        <x:v>否</x:v>
      </x:c>
    </x:row>
    <x:row r="175" ht="54" customHeight="1">
      <x:c r="A175" s="78" t="str">
        <x:v>case-1276470620b9953e</x:v>
      </x:c>
      <x:c r="B175" s="78" t="str">
        <x:v>ru</x:v>
      </x:c>
      <x:c r="C175" s="78" t="str">
        <x:v>en</x:v>
      </x:c>
      <x:c r="D175" s="78" t="str">
        <x:v>售后</x:v>
      </x:c>
      <x:c r="E175" s="79" t="str">
        <x:v>Телефон заряжается, но компьютер его не распознаёт. Я уже попробовал другой кабель.</x:v>
      </x:c>
      <x:c r="F175" s="79" t="str">
        <x:v>The phone is charging, but the computer can't recognize it. I've already tried another cable.</x:v>
      </x:c>
      <x:c r="G175" s="80" t="str"/>
      <x:c r="H175" s="80" t="str"/>
      <x:c r="I175" s="79" t="str">
        <x:v>The phone is charging, but the computer does not recognize it. I have already tried another cable.</x:v>
      </x:c>
      <x:c r="J175" s="80" t="str"/>
      <x:c r="K175" s="80" t="str"/>
      <x:c r="L175" s="80" t="str"/>
      <x:c r="M175" s="81" t="str"/>
      <x:c r="N175" s="82" t="str">
        <x:f>IF(F175=I175,"是","否")</x:f>
        <x:v>否</x:v>
      </x:c>
      <x:c r="O175" s="82" t="str">
        <x:f>IF(AND(G175&lt;&gt;"",J175&lt;&gt;""),"是","否")</x:f>
        <x:v>否</x:v>
      </x:c>
    </x:row>
    <x:row r="176" ht="54" customHeight="1">
      <x:c r="A176" s="78" t="str">
        <x:v>case-c89b8483f0d2c876</x:v>
      </x:c>
      <x:c r="B176" s="78" t="str">
        <x:v>en</x:v>
      </x:c>
      <x:c r="C176" s="78" t="str">
        <x:v>zh</x:v>
      </x:c>
      <x:c r="D176" s="78" t="str">
        <x:v>售后</x:v>
      </x:c>
      <x:c r="E176" s="79" t="str">
        <x:v>The refund covers the item but not the delivery charge. Is that what you intended?</x:v>
      </x:c>
      <x:c r="F176" s="79" t="str">
        <x:v>退款覆盖商品,但不是交付费用。这是您的目的吗?</x:v>
      </x:c>
      <x:c r="G176" s="80" t="str"/>
      <x:c r="H176" s="80" t="str"/>
      <x:c r="I176" s="79" t="str">
        <x:v>退款为商品,而不是送货费用。是你打算的吗?</x:v>
      </x:c>
      <x:c r="J176" s="80" t="str"/>
      <x:c r="K176" s="80" t="str"/>
      <x:c r="L176" s="80" t="str"/>
      <x:c r="M176" s="81" t="str"/>
      <x:c r="N176" s="82" t="str">
        <x:f>IF(F176=I176,"是","否")</x:f>
        <x:v>否</x:v>
      </x:c>
      <x:c r="O176" s="82" t="str">
        <x:f>IF(AND(G176&lt;&gt;"",J176&lt;&gt;""),"是","否")</x:f>
        <x:v>否</x:v>
      </x:c>
    </x:row>
    <x:row r="177" ht="54" customHeight="1">
      <x:c r="A177" s="78" t="str">
        <x:v>case-55a9daa989e3fd78</x:v>
      </x:c>
      <x:c r="B177" s="78" t="str">
        <x:v>uz</x:v>
      </x:c>
      <x:c r="C177" s="78" t="str">
        <x:v>ru</x:v>
      </x:c>
      <x:c r="D177" s="78" t="str">
        <x:v>工作学习</x:v>
      </x:c>
      <x:c r="E177" s="79" t="str">
        <x:v>Hisobotni bugun yuborish shart emas, lekin ertaga soat to'qqizgacha tayyor bo'lishi kerak.</x:v>
      </x:c>
      <x:c r="F177" s="79" t="str">
        <x:v>Отчет не обязательно будет отправлен сегодня, но он должен быть готов до девяти завтра.</x:v>
      </x:c>
      <x:c r="G177" s="80" t="str"/>
      <x:c r="H177" s="80" t="str"/>
      <x:c r="I177" s="79" t="str">
        <x:v>Отчет не должен быть отправлен сегодня, но он должен быть готов к девяти часам завтра.</x:v>
      </x:c>
      <x:c r="J177" s="80" t="str"/>
      <x:c r="K177" s="80" t="str"/>
      <x:c r="L177" s="80" t="str"/>
      <x:c r="M177" s="81" t="str"/>
      <x:c r="N177" s="82" t="str">
        <x:f>IF(F177=I177,"是","否")</x:f>
        <x:v>否</x:v>
      </x:c>
      <x:c r="O177" s="82" t="str">
        <x:f>IF(AND(G177&lt;&gt;"",J177&lt;&gt;""),"是","否")</x:f>
        <x:v>否</x:v>
      </x:c>
    </x:row>
    <x:row r="178" ht="54" customHeight="1">
      <x:c r="A178" s="78" t="str">
        <x:v>case-edaa2ffc1f417332</x:v>
      </x:c>
      <x:c r="B178" s="78" t="str">
        <x:v>ru</x:v>
      </x:c>
      <x:c r="C178" s="78" t="str">
        <x:v>uz</x:v>
      </x:c>
      <x:c r="D178" s="78" t="str">
        <x:v>工作学习</x:v>
      </x:c>
      <x:c r="E178" s="79" t="str">
        <x:v>Проверьте, пожалуйста, итоговую сумму: скидка уже учтена, а доставка ещё нет.</x:v>
      </x:c>
      <x:c r="F178" s="79" t="str">
        <x:v>Iltimos, yakuniy summani tekshiring: chegirma allaqachon hisobga olingan va yetkazib berilmagan.</x:v>
      </x:c>
      <x:c r="G178" s="80" t="str"/>
      <x:c r="H178" s="80" t="str"/>
      <x:c r="I178" s="79" t="str">
        <x:v>So'nggi summani tekshirib ko'ring: chegirma allaqachon hisobga olingan, yetkazib berish esa hali kelmagan.</x:v>
      </x:c>
      <x:c r="J178" s="80" t="str"/>
      <x:c r="K178" s="80" t="str"/>
      <x:c r="L178" s="80" t="str"/>
      <x:c r="M178" s="81" t="str"/>
      <x:c r="N178" s="82" t="str">
        <x:f>IF(F178=I178,"是","否")</x:f>
        <x:v>否</x:v>
      </x:c>
      <x:c r="O178" s="82" t="str">
        <x:f>IF(AND(G178&lt;&gt;"",J178&lt;&gt;""),"是","否")</x:f>
        <x:v>否</x:v>
      </x:c>
    </x:row>
    <x:row r="179" ht="54" customHeight="1">
      <x:c r="A179" s="78" t="str">
        <x:v>case-e833b024d2fb4961</x:v>
      </x:c>
      <x:c r="B179" s="78" t="str">
        <x:v>en</x:v>
      </x:c>
      <x:c r="C179" s="78" t="str">
        <x:v>zh</x:v>
      </x:c>
      <x:c r="D179" s="78" t="str">
        <x:v>日常</x:v>
      </x:c>
      <x:c r="E179" s="79" t="str">
        <x:v>Neither of us has booked a table yet, so could you call the restaurant?</x:v>
      </x:c>
      <x:c r="F179" s="79" t="str">
        <x:v>我们两个还没有预订桌子,所以你能打电话给餐厅吗?</x:v>
      </x:c>
      <x:c r="G179" s="80" t="str"/>
      <x:c r="H179" s="80" t="str"/>
      <x:c r="I179" s="79" t="str">
        <x:v>我们还没有预订桌子,所以你能打电话给餐厅吗?</x:v>
      </x:c>
      <x:c r="J179" s="80" t="str"/>
      <x:c r="K179" s="80" t="str"/>
      <x:c r="L179" s="80" t="str"/>
      <x:c r="M179" s="81" t="str"/>
      <x:c r="N179" s="82" t="str">
        <x:f>IF(F179=I179,"是","否")</x:f>
        <x:v>否</x:v>
      </x:c>
      <x:c r="O179" s="82" t="str">
        <x:f>IF(AND(G179&lt;&gt;"",J179&lt;&gt;""),"是","否")</x:f>
        <x:v>否</x:v>
      </x:c>
    </x:row>
    <x:row r="180" ht="54" customHeight="1">
      <x:c r="A180" s="78" t="str">
        <x:v>case-b89d2c3f184a3ca1</x:v>
      </x:c>
      <x:c r="B180" s="78" t="str">
        <x:v>en</x:v>
      </x:c>
      <x:c r="C180" s="78" t="str">
        <x:v>ru</x:v>
      </x:c>
      <x:c r="D180" s="78" t="str">
        <x:v>售后</x:v>
      </x:c>
      <x:c r="E180" s="79" t="str">
        <x:v>Please send the replacement to my office; the address on the original order is no longer valid.</x:v>
      </x:c>
      <x:c r="F180" s="79" t="str">
        <x:v>Пожалуйста, отправьте замену в мой офис; адрес на оригинальном заказе больше не действителен.</x:v>
      </x:c>
      <x:c r="G180" s="80" t="str"/>
      <x:c r="H180" s="80" t="str"/>
      <x:c r="I180" s="79" t="str">
        <x:v>Пожалуйста, отправьте замену в мой офис; адрес на оригинальном заказе больше не действителен.</x:v>
      </x:c>
      <x:c r="J180" s="80" t="str"/>
      <x:c r="K180" s="80" t="str"/>
      <x:c r="L180" s="80" t="str"/>
      <x:c r="M180" s="81" t="str"/>
      <x:c r="N180" s="82" t="str">
        <x:f>IF(F180=I180,"是","否")</x:f>
        <x:v>是</x:v>
      </x:c>
      <x:c r="O180" s="82" t="str">
        <x:f>IF(AND(G180&lt;&gt;"",J180&lt;&gt;""),"是","否")</x:f>
        <x:v>否</x:v>
      </x:c>
    </x:row>
    <x:row r="181" ht="54" customHeight="1">
      <x:c r="A181" s="78" t="str">
        <x:v>case-be2c448822ba2831</x:v>
      </x:c>
      <x:c r="B181" s="78" t="str">
        <x:v>uz</x:v>
      </x:c>
      <x:c r="C181" s="78" t="str">
        <x:v>en</x:v>
      </x:c>
      <x:c r="D181" s="78" t="str">
        <x:v>工作学习</x:v>
      </x:c>
      <x:c r="E181" s="79" t="str">
        <x:v>Faqat ro'yxatdan o'tgan ishtirokchilarga sertifikat beriladi.</x:v>
      </x:c>
      <x:c r="F181" s="79" t="str">
        <x:v>Only registered participants will receive a certificate.</x:v>
      </x:c>
      <x:c r="G181" s="80" t="str"/>
      <x:c r="H181" s="80" t="str"/>
      <x:c r="I181" s="79" t="str">
        <x:v>Only registered participants will receive a certificate.</x:v>
      </x:c>
      <x:c r="J181" s="80" t="str"/>
      <x:c r="K181" s="80" t="str"/>
      <x:c r="L181" s="80" t="str"/>
      <x:c r="M181" s="81" t="str"/>
      <x:c r="N181" s="82" t="str">
        <x:f>IF(F181=I181,"是","否")</x:f>
        <x:v>是</x:v>
      </x:c>
      <x:c r="O181" s="82" t="str">
        <x:f>IF(AND(G181&lt;&gt;"",J181&lt;&gt;""),"是","否")</x:f>
        <x:v>否</x:v>
      </x:c>
    </x:row>
    <x:row r="182" ht="54" customHeight="1">
      <x:c r="A182" s="78" t="str">
        <x:v>case-a67c13366f9f2e23</x:v>
      </x:c>
      <x:c r="B182" s="78" t="str">
        <x:v>ru</x:v>
      </x:c>
      <x:c r="C182" s="78" t="str">
        <x:v>zh</x:v>
      </x:c>
      <x:c r="D182" s="78" t="str">
        <x:v>售后</x:v>
      </x:c>
      <x:c r="E182" s="79" t="str">
        <x:v>Вместо упаковки из шести стаканов мне прислали только один. Проверьте, пожалуйста, заказ.</x:v>
      </x:c>
      <x:c r="F182" s="79" t="str">
        <x:v>他们只寄给我一个,而不是一个六杯的包装。请检查订单。</x:v>
      </x:c>
      <x:c r="G182" s="80" t="str"/>
      <x:c r="H182" s="80" t="str"/>
      <x:c r="I182" s="79" t="str">
        <x:v>换成六杯包装,我只收到一个。请检查订单。</x:v>
      </x:c>
      <x:c r="J182" s="80" t="str"/>
      <x:c r="K182" s="80" t="str"/>
      <x:c r="L182" s="80" t="str"/>
      <x:c r="M182" s="81" t="str"/>
      <x:c r="N182" s="82" t="str">
        <x:f>IF(F182=I182,"是","否")</x:f>
        <x:v>否</x:v>
      </x:c>
      <x:c r="O182" s="82" t="str">
        <x:f>IF(AND(G182&lt;&gt;"",J182&lt;&gt;""),"是","否")</x:f>
        <x:v>否</x:v>
      </x:c>
    </x:row>
    <x:row r="183" ht="54" customHeight="1">
      <x:c r="A183" s="78" t="str">
        <x:v>case-90df4a375eee4fc6</x:v>
      </x:c>
      <x:c r="B183" s="78" t="str">
        <x:v>en</x:v>
      </x:c>
      <x:c r="C183" s="78" t="str">
        <x:v>ru</x:v>
      </x:c>
      <x:c r="D183" s="78" t="str">
        <x:v>日常</x:v>
      </x:c>
      <x:c r="E183" s="79" t="str">
        <x:v>Maya said she would pick up Leo, not that Leo would pick her up.</x:v>
      </x:c>
      <x:c r="F183" s="79" t="str">
        <x:v>Майя сказала, что возьмет Лео, а не что Лео возьмет ее.</x:v>
      </x:c>
      <x:c r="G183" s="80" t="str"/>
      <x:c r="H183" s="80" t="str"/>
      <x:c r="I183" s="79" t="str">
        <x:v>Майя сказала, что возьмет Лео, а не что Лео возьмет ее.</x:v>
      </x:c>
      <x:c r="J183" s="80" t="str"/>
      <x:c r="K183" s="80" t="str"/>
      <x:c r="L183" s="80" t="str"/>
      <x:c r="M183" s="81" t="str"/>
      <x:c r="N183" s="82" t="str">
        <x:f>IF(F183=I183,"是","否")</x:f>
        <x:v>是</x:v>
      </x:c>
      <x:c r="O183" s="82" t="str">
        <x:f>IF(AND(G183&lt;&gt;"",J183&lt;&gt;""),"是","否")</x:f>
        <x:v>否</x:v>
      </x:c>
    </x:row>
    <x:row r="184" ht="54" customHeight="1">
      <x:c r="A184" s="78" t="str">
        <x:v>case-13c6af30caf8f6e7</x:v>
      </x:c>
      <x:c r="B184" s="78" t="str">
        <x:v>uz</x:v>
      </x:c>
      <x:c r="C184" s="78" t="str">
        <x:v>ru</x:v>
      </x:c>
      <x:c r="D184" s="78" t="str">
        <x:v>出行</x:v>
      </x:c>
      <x:c r="E184" s="79" t="str">
        <x:v>Agar avtobus o'n daqiqada kelmasa, taksida ketamiz.</x:v>
      </x:c>
      <x:c r="F184" s="79" t="str">
        <x:v>Если автобус не придет через десять минут, мы поедем на такси.</x:v>
      </x:c>
      <x:c r="G184" s="80" t="str"/>
      <x:c r="H184" s="80" t="str"/>
      <x:c r="I184" s="79" t="str">
        <x:v>Если автобус не придет через десять минут, мы поедем на такси.</x:v>
      </x:c>
      <x:c r="J184" s="80" t="str"/>
      <x:c r="K184" s="80" t="str"/>
      <x:c r="L184" s="80" t="str"/>
      <x:c r="M184" s="81" t="str"/>
      <x:c r="N184" s="82" t="str">
        <x:f>IF(F184=I184,"是","否")</x:f>
        <x:v>是</x:v>
      </x:c>
      <x:c r="O184" s="82" t="str">
        <x:f>IF(AND(G184&lt;&gt;"",J184&lt;&gt;""),"是","否")</x:f>
        <x:v>否</x:v>
      </x:c>
    </x:row>
    <x:row r="185" ht="54" customHeight="1">
      <x:c r="A185" s="78" t="str">
        <x:v>case-a925b4cbae5fdd06</x:v>
      </x:c>
      <x:c r="B185" s="78" t="str">
        <x:v>en</x:v>
      </x:c>
      <x:c r="C185" s="78" t="str">
        <x:v>ru</x:v>
      </x:c>
      <x:c r="D185" s="78" t="str">
        <x:v>出行</x:v>
      </x:c>
      <x:c r="E185" s="79" t="str">
        <x:v>The lift is out of service. Is there another step-free way to reach the platform?</x:v>
      </x:c>
      <x:c r="F185" s="79" t="str">
        <x:v>Лифт вышел из строя. Есть ли другой путь к платформе без каких-либо шагов?</x:v>
      </x:c>
      <x:c r="G185" s="80" t="str"/>
      <x:c r="H185" s="80" t="str"/>
      <x:c r="I185" s="79" t="str">
        <x:v>Лифт вышел из эксплуатации. Есть ли другой путь к платформе без ступеней?</x:v>
      </x:c>
      <x:c r="J185" s="80" t="str"/>
      <x:c r="K185" s="80" t="str"/>
      <x:c r="L185" s="80" t="str"/>
      <x:c r="M185" s="81" t="str"/>
      <x:c r="N185" s="82" t="str">
        <x:f>IF(F185=I185,"是","否")</x:f>
        <x:v>否</x:v>
      </x:c>
      <x:c r="O185" s="82" t="str">
        <x:f>IF(AND(G185&lt;&gt;"",J185&lt;&gt;""),"是","否")</x:f>
        <x:v>否</x:v>
      </x:c>
    </x:row>
    <x:row r="186" ht="54" customHeight="1">
      <x:c r="A186" s="78" t="str">
        <x:v>case-6e8084acd3cf9bad</x:v>
      </x:c>
      <x:c r="B186" s="78" t="str">
        <x:v>zh</x:v>
      </x:c>
      <x:c r="C186" s="78" t="str">
        <x:v>uz</x:v>
      </x:c>
      <x:c r="D186" s="78" t="str">
        <x:v>售后</x:v>
      </x:c>
      <x:c r="E186" s="79" t="str">
        <x:v>请只取消订单里的耳机，充电器仍然需要发货。</x:v>
      </x:c>
      <x:c r="F186" s="79" t="str">
        <x:v>Iltimos, buyurtma qilingan eshittirish qurilmasini bekor qiling, to'ldirish tizimi hali ham jo'natilishi kerak.</x:v>
      </x:c>
      <x:c r="G186" s="80" t="str"/>
      <x:c r="H186" s="80" t="str"/>
      <x:c r="I186" s="79" t="str">
        <x:v>Iltimos, buyurtma qilingan eshittirish qurilmasini bekor qiling, charjerlar hali ham jo'natilishi kerak.</x:v>
      </x:c>
      <x:c r="J186" s="80" t="str"/>
      <x:c r="K186" s="80" t="str"/>
      <x:c r="L186" s="80" t="str"/>
      <x:c r="M186" s="81" t="str"/>
      <x:c r="N186" s="82" t="str">
        <x:f>IF(F186=I186,"是","否")</x:f>
        <x:v>否</x:v>
      </x:c>
      <x:c r="O186" s="82" t="str">
        <x:f>IF(AND(G186&lt;&gt;"",J186&lt;&gt;""),"是","否")</x:f>
        <x:v>否</x:v>
      </x:c>
    </x:row>
    <x:row r="187" ht="54" customHeight="1">
      <x:c r="A187" s="78" t="str">
        <x:v>case-c7f0f880fbddb336</x:v>
      </x:c>
      <x:c r="B187" s="78" t="str">
        <x:v>uz</x:v>
      </x:c>
      <x:c r="C187" s="78" t="str">
        <x:v>zh</x:v>
      </x:c>
      <x:c r="D187" s="78" t="str">
        <x:v>工作学习</x:v>
      </x:c>
      <x:c r="E187" s="79" t="str">
        <x:v>Bu xulosani tasdiqlash uchun ma'lumot yetarli emas. Hozircha uni taxmin deb ko'rsating.</x:v>
      </x:c>
      <x:c r="F187" s="79" t="str">
        <x:v>没有足够的数据来证明这一结论.</x:v>
      </x:c>
      <x:c r="G187" s="80" t="str"/>
      <x:c r="H187" s="80" t="str"/>
      <x:c r="I187" s="79" t="str">
        <x:v>证实这一结论的资料不够。暂时将其视为假设。</x:v>
      </x:c>
      <x:c r="J187" s="80" t="str"/>
      <x:c r="K187" s="80" t="str"/>
      <x:c r="L187" s="80" t="str"/>
      <x:c r="M187" s="81" t="str"/>
      <x:c r="N187" s="82" t="str">
        <x:f>IF(F187=I187,"是","否")</x:f>
        <x:v>否</x:v>
      </x:c>
      <x:c r="O187" s="82" t="str">
        <x:f>IF(AND(G187&lt;&gt;"",J187&lt;&gt;""),"是","否")</x:f>
        <x:v>否</x:v>
      </x:c>
    </x:row>
    <x:row r="188" ht="54" customHeight="1">
      <x:c r="A188" s="78" t="str">
        <x:v>case-5834845082113815</x:v>
      </x:c>
      <x:c r="B188" s="78" t="str">
        <x:v>zh</x:v>
      </x:c>
      <x:c r="C188" s="78" t="str">
        <x:v>en</x:v>
      </x:c>
      <x:c r="D188" s="78" t="str">
        <x:v>售后</x:v>
      </x:c>
      <x:c r="E188" s="79" t="str">
        <x:v>如果今天不能送到，请先联系我，不要把包裹放在门外。</x:v>
      </x:c>
      <x:c r="F188" s="79" t="str">
        <x:v>If you can't deliver today, please contact me first, and don't leave the package outside the door.</x:v>
      </x:c>
      <x:c r="G188" s="80" t="str"/>
      <x:c r="H188" s="80" t="str"/>
      <x:c r="I188" s="79" t="str">
        <x:v>If you can't deliver today, please contact me first, and don't leave the package outside the door.</x:v>
      </x:c>
      <x:c r="J188" s="80" t="str"/>
      <x:c r="K188" s="80" t="str"/>
      <x:c r="L188" s="80" t="str"/>
      <x:c r="M188" s="81" t="str"/>
      <x:c r="N188" s="82" t="str">
        <x:f>IF(F188=I188,"是","否")</x:f>
        <x:v>是</x:v>
      </x:c>
      <x:c r="O188" s="82" t="str">
        <x:f>IF(AND(G188&lt;&gt;"",J188&lt;&gt;""),"是","否")</x:f>
        <x:v>否</x:v>
      </x:c>
    </x:row>
    <x:row r="189" ht="54" customHeight="1">
      <x:c r="A189" s="78" t="str">
        <x:v>case-e1a7392882ee7dad</x:v>
      </x:c>
      <x:c r="B189" s="78" t="str">
        <x:v>zh</x:v>
      </x:c>
      <x:c r="C189" s="78" t="str">
        <x:v>en</x:v>
      </x:c>
      <x:c r="D189" s="78" t="str">
        <x:v>工作学习</x:v>
      </x:c>
      <x:c r="E189" s="79" t="str">
        <x:v>文件已经保存，但还没有发送给客户，请不要重复发送。</x:v>
      </x:c>
      <x:c r="F189" s="79" t="str">
        <x:v>The file has been saved, but has not yet been sent to the customer, please do not send it again.</x:v>
      </x:c>
      <x:c r="G189" s="80" t="str"/>
      <x:c r="H189" s="80" t="str"/>
      <x:c r="I189" s="79" t="str">
        <x:v>The file has been saved, but has not yet been sent to the customer, please do not send it again.</x:v>
      </x:c>
      <x:c r="J189" s="80" t="str"/>
      <x:c r="K189" s="80" t="str"/>
      <x:c r="L189" s="80" t="str"/>
      <x:c r="M189" s="81" t="str"/>
      <x:c r="N189" s="82" t="str">
        <x:f>IF(F189=I189,"是","否")</x:f>
        <x:v>是</x:v>
      </x:c>
      <x:c r="O189" s="82" t="str">
        <x:f>IF(AND(G189&lt;&gt;"",J189&lt;&gt;""),"是","否")</x:f>
        <x:v>否</x:v>
      </x:c>
    </x:row>
    <x:row r="190" ht="54" customHeight="1">
      <x:c r="A190" s="78" t="str">
        <x:v>case-8af2249c6cda0063</x:v>
      </x:c>
      <x:c r="B190" s="78" t="str">
        <x:v>en</x:v>
      </x:c>
      <x:c r="C190" s="78" t="str">
        <x:v>uz</x:v>
      </x:c>
      <x:c r="D190" s="78" t="str">
        <x:v>工作学习</x:v>
      </x:c>
      <x:c r="E190" s="79" t="str">
        <x:v>The figures in column C are estimates, whereas those in column D have been confirmed.</x:v>
      </x:c>
      <x:c r="F190" s="79" t="str">
        <x:v>C ustunidagi raqamlar taxminlardir, D ustunidagi raqamlar tasdiqlandi.</x:v>
      </x:c>
      <x:c r="G190" s="80" t="str"/>
      <x:c r="H190" s="80" t="str"/>
      <x:c r="I190" s="79" t="str">
        <x:v>C ustunidagi raqamlar taxminlar bo'lib, D ustunidagi raqamlar tasdiqlandi.</x:v>
      </x:c>
      <x:c r="J190" s="80" t="str"/>
      <x:c r="K190" s="80" t="str"/>
      <x:c r="L190" s="80" t="str"/>
      <x:c r="M190" s="81" t="str"/>
      <x:c r="N190" s="82" t="str">
        <x:f>IF(F190=I190,"是","否")</x:f>
        <x:v>否</x:v>
      </x:c>
      <x:c r="O190" s="82" t="str">
        <x:f>IF(AND(G190&lt;&gt;"",J190&lt;&gt;""),"是","否")</x:f>
        <x:v>否</x:v>
      </x:c>
    </x:row>
    <x:row r="191" ht="54" customHeight="1">
      <x:c r="A191" s="78" t="str">
        <x:v>case-cce1a8b01478fbde</x:v>
      </x:c>
      <x:c r="B191" s="78" t="str">
        <x:v>uz</x:v>
      </x:c>
      <x:c r="C191" s="78" t="str">
        <x:v>en</x:v>
      </x:c>
      <x:c r="D191" s="78" t="str">
        <x:v>日常</x:v>
      </x:c>
      <x:c r="E191" s="79" t="str">
        <x:v>Dilshod kitobni menga emas, Nodiraga bergan. Kitobni undan so'rang.</x:v>
      </x:c>
      <x:c r="F191" s="79" t="str">
        <x:v>Dilshod gave the book to Nadira, not me. Ask him for the book.</x:v>
      </x:c>
      <x:c r="G191" s="80" t="str"/>
      <x:c r="H191" s="80" t="str"/>
      <x:c r="I191" s="79" t="str">
        <x:v>Dilshod gave the book to Nodira, not me. Ask him for the book.</x:v>
      </x:c>
      <x:c r="J191" s="80" t="str"/>
      <x:c r="K191" s="80" t="str"/>
      <x:c r="L191" s="80" t="str"/>
      <x:c r="M191" s="81" t="str"/>
      <x:c r="N191" s="82" t="str">
        <x:f>IF(F191=I191,"是","否")</x:f>
        <x:v>否</x:v>
      </x:c>
      <x:c r="O191" s="82" t="str">
        <x:f>IF(AND(G191&lt;&gt;"",J191&lt;&gt;""),"是","否")</x:f>
        <x:v>否</x:v>
      </x:c>
    </x:row>
    <x:row r="192" ht="54" customHeight="1">
      <x:c r="A192" s="78" t="str">
        <x:v>case-0486a7d00bc13bb5</x:v>
      </x:c>
      <x:c r="B192" s="78" t="str">
        <x:v>ru</x:v>
      </x:c>
      <x:c r="C192" s="78" t="str">
        <x:v>en</x:v>
      </x:c>
      <x:c r="D192" s="78" t="str">
        <x:v>日常</x:v>
      </x:c>
      <x:c r="E192" s="79" t="str">
        <x:v>Пожалуйста, оставьте окно приоткрытым, но выключите свет.</x:v>
      </x:c>
      <x:c r="F192" s="79" t="str">
        <x:v>Please leave the window open, but turn off the light.</x:v>
      </x:c>
      <x:c r="G192" s="80" t="str"/>
      <x:c r="H192" s="80" t="str"/>
      <x:c r="I192" s="79" t="str">
        <x:v>Please leave the window open, but turn off the light.</x:v>
      </x:c>
      <x:c r="J192" s="80" t="str"/>
      <x:c r="K192" s="80" t="str"/>
      <x:c r="L192" s="80" t="str"/>
      <x:c r="M192" s="81" t="str"/>
      <x:c r="N192" s="82" t="str">
        <x:f>IF(F192=I192,"是","否")</x:f>
        <x:v>是</x:v>
      </x:c>
      <x:c r="O192" s="82" t="str">
        <x:f>IF(AND(G192&lt;&gt;"",J192&lt;&gt;""),"是","否")</x:f>
        <x:v>否</x:v>
      </x:c>
    </x:row>
    <x:row r="193" ht="54" customHeight="1">
      <x:c r="A193" s="78" t="str">
        <x:v>case-3e43d9338f680f57</x:v>
      </x:c>
      <x:c r="B193" s="78" t="str">
        <x:v>uz</x:v>
      </x:c>
      <x:c r="C193" s="78" t="str">
        <x:v>zh</x:v>
      </x:c>
      <x:c r="D193" s="78" t="str">
        <x:v>工作学习</x:v>
      </x:c>
      <x:c r="E193" s="79" t="str">
        <x:v>Avval eski nusxani saqlab qo'ying, keyin yangi ma'lumotlarni kiriting.</x:v>
      </x:c>
      <x:c r="F193" s="79" t="str">
        <x:v>首先保存旧副本,然后输入新数据.</x:v>
      </x:c>
      <x:c r="G193" s="80" t="str"/>
      <x:c r="H193" s="80" t="str"/>
      <x:c r="I193" s="79" t="str">
        <x:v>首先保存旧版,然后输入新数据。</x:v>
      </x:c>
      <x:c r="J193" s="80" t="str"/>
      <x:c r="K193" s="80" t="str"/>
      <x:c r="L193" s="80" t="str"/>
      <x:c r="M193" s="81" t="str"/>
      <x:c r="N193" s="82" t="str">
        <x:f>IF(F193=I193,"是","否")</x:f>
        <x:v>否</x:v>
      </x:c>
      <x:c r="O193" s="82" t="str">
        <x:f>IF(AND(G193&lt;&gt;"",J193&lt;&gt;""),"是","否")</x:f>
        <x:v>否</x:v>
      </x:c>
    </x:row>
    <x:row r="194" ht="54" customHeight="1">
      <x:c r="A194" s="78" t="str">
        <x:v>case-7b6bb83911d076de</x:v>
      </x:c>
      <x:c r="B194" s="78" t="str">
        <x:v>zh</x:v>
      </x:c>
      <x:c r="C194" s="78" t="str">
        <x:v>ru</x:v>
      </x:c>
      <x:c r="D194" s="78" t="str">
        <x:v>工作学习</x:v>
      </x:c>
      <x:c r="E194" s="79" t="str">
        <x:v>这次会议只讨论预算，不决定最终的采购名单。</x:v>
      </x:c>
      <x:c r="F194" s="79" t="str">
        <x:v>На заседании обсуждался только бюджет, а не окончательный список закупок.</x:v>
      </x:c>
      <x:c r="G194" s="80" t="str"/>
      <x:c r="H194" s="80" t="str"/>
      <x:c r="I194" s="79" t="str">
        <x:v>На встрече обсуждался только бюджет, а не окончательный список закупок.</x:v>
      </x:c>
      <x:c r="J194" s="80" t="str"/>
      <x:c r="K194" s="80" t="str"/>
      <x:c r="L194" s="80" t="str"/>
      <x:c r="M194" s="81" t="str"/>
      <x:c r="N194" s="82" t="str">
        <x:f>IF(F194=I194,"是","否")</x:f>
        <x:v>否</x:v>
      </x:c>
      <x:c r="O194" s="82" t="str">
        <x:f>IF(AND(G194&lt;&gt;"",J194&lt;&gt;""),"是","否")</x:f>
        <x:v>否</x:v>
      </x:c>
    </x:row>
    <x:row r="195" ht="54" customHeight="1">
      <x:c r="A195" s="78" t="str">
        <x:v>case-7fc87a379ff0694b</x:v>
      </x:c>
      <x:c r="B195" s="78" t="str">
        <x:v>zh</x:v>
      </x:c>
      <x:c r="C195" s="78" t="str">
        <x:v>ru</x:v>
      </x:c>
      <x:c r="D195" s="78" t="str">
        <x:v>日常</x:v>
      </x:c>
      <x:c r="E195" s="79" t="str">
        <x:v>我不是不想参加，只是周六上午已经有安排了。</x:v>
      </x:c>
      <x:c r="F195" s="79" t="str">
        <x:v>Это не значит, что я не хочу участвовать, просто у нас уже есть планы на субботу утром.</x:v>
      </x:c>
      <x:c r="G195" s="80" t="str"/>
      <x:c r="H195" s="80" t="str"/>
      <x:c r="I195" s="79" t="str">
        <x:v>Это не значит, что я не хочу участвовать, просто у нас уже есть планы на субботу утром.</x:v>
      </x:c>
      <x:c r="J195" s="80" t="str"/>
      <x:c r="K195" s="80" t="str"/>
      <x:c r="L195" s="80" t="str"/>
      <x:c r="M195" s="81" t="str"/>
      <x:c r="N195" s="82" t="str">
        <x:f>IF(F195=I195,"是","否")</x:f>
        <x:v>是</x:v>
      </x:c>
      <x:c r="O195" s="82" t="str">
        <x:f>IF(AND(G195&lt;&gt;"",J195&lt;&gt;""),"是","否")</x:f>
        <x:v>否</x:v>
      </x:c>
    </x:row>
    <x:row r="196" ht="54" customHeight="1">
      <x:c r="A196" s="78" t="str">
        <x:v>case-b88c6f4e9424a16f</x:v>
      </x:c>
      <x:c r="B196" s="78" t="str">
        <x:v>ru</x:v>
      </x:c>
      <x:c r="C196" s="78" t="str">
        <x:v>zh</x:v>
      </x:c>
      <x:c r="D196" s="78" t="str">
        <x:v>日常</x:v>
      </x:c>
      <x:c r="E196" s="79" t="str">
        <x:v>Анна передала документы Борису, а не мне. Уточните у него, где они сейчас.</x:v>
      </x:c>
      <x:c r="F196" s="79" t="str">
        <x:v>娜把文件交给了博里斯,而不是给我。请你告诉他他们现在在哪里。</x:v>
      </x:c>
      <x:c r="G196" s="80" t="str"/>
      <x:c r="H196" s="80" t="str"/>
      <x:c r="I196" s="79" t="str">
        <x:v>安娜把文件交给了博里斯,而不是给了我。请告诉他他们现在在哪里。</x:v>
      </x:c>
      <x:c r="J196" s="80" t="str"/>
      <x:c r="K196" s="80" t="str"/>
      <x:c r="L196" s="80" t="str"/>
      <x:c r="M196" s="81" t="str"/>
      <x:c r="N196" s="82" t="str">
        <x:f>IF(F196=I196,"是","否")</x:f>
        <x:v>否</x:v>
      </x:c>
      <x:c r="O196" s="82" t="str">
        <x:f>IF(AND(G196&lt;&gt;"",J196&lt;&gt;""),"是","否")</x:f>
        <x:v>否</x:v>
      </x:c>
    </x:row>
    <x:row r="197" ht="54" customHeight="1">
      <x:c r="A197" s="78" t="str">
        <x:v>case-763ec80d6e6f1ecd</x:v>
      </x:c>
      <x:c r="B197" s="78" t="str">
        <x:v>zh</x:v>
      </x:c>
      <x:c r="C197" s="78" t="str">
        <x:v>uz</x:v>
      </x:c>
      <x:c r="D197" s="78" t="str">
        <x:v>日常</x:v>
      </x:c>
      <x:c r="E197" s="79" t="str">
        <x:v>这两杯都不要加糖，其中一杯少放冰。</x:v>
      </x:c>
      <x:c r="F197" s="79" t="str">
        <x:v>Ikkala shisha ham shakar bilan to'ldirilmasin, bir shisha muz bilan to'ldirilsin.</x:v>
      </x:c>
      <x:c r="G197" s="80" t="str"/>
      <x:c r="H197" s="80" t="str"/>
      <x:c r="I197" s="79" t="str">
        <x:v>Ikkala shisha ham shakar bilan to'ldirilmasin, bir shisha muz bilan to'ldirilsin.</x:v>
      </x:c>
      <x:c r="J197" s="80" t="str"/>
      <x:c r="K197" s="80" t="str"/>
      <x:c r="L197" s="80" t="str"/>
      <x:c r="M197" s="81" t="str"/>
      <x:c r="N197" s="82" t="str">
        <x:f>IF(F197=I197,"是","否")</x:f>
        <x:v>是</x:v>
      </x:c>
      <x:c r="O197" s="82" t="str">
        <x:f>IF(AND(G197&lt;&gt;"",J197&lt;&gt;""),"是","否")</x:f>
        <x:v>否</x:v>
      </x:c>
    </x:row>
    <x:row r="198" ht="54" customHeight="1">
      <x:c r="A198" s="78" t="str">
        <x:v>case-32e0d4fde89cb52e</x:v>
      </x:c>
      <x:c r="B198" s="78" t="str">
        <x:v>en</x:v>
      </x:c>
      <x:c r="C198" s="78" t="str">
        <x:v>uz</x:v>
      </x:c>
      <x:c r="D198" s="78" t="str">
        <x:v>工作学习</x:v>
      </x:c>
      <x:c r="E198" s="79" t="str">
        <x:v>We need the draft by noon, but the final version can wait until Friday.</x:v>
      </x:c>
      <x:c r="F198" s="79" t="str">
        <x:v>Biz tushgacha loyihani kerak, lekin yakuniy versiyasi shanbagacha kutishi mumkin.</x:v>
      </x:c>
      <x:c r="G198" s="80" t="str"/>
      <x:c r="H198" s="80" t="str"/>
      <x:c r="I198" s="79" t="str">
        <x:v>Biz tushgacha loyihani kerak, lekin yakuniy versiyasi shanbagacha kutishi mumkin.</x:v>
      </x:c>
      <x:c r="J198" s="80" t="str"/>
      <x:c r="K198" s="80" t="str"/>
      <x:c r="L198" s="80" t="str"/>
      <x:c r="M198" s="81" t="str"/>
      <x:c r="N198" s="82" t="str">
        <x:f>IF(F198=I198,"是","否")</x:f>
        <x:v>是</x:v>
      </x:c>
      <x:c r="O198" s="82" t="str">
        <x:f>IF(AND(G198&lt;&gt;"",J198&lt;&gt;""),"是","否")</x:f>
        <x:v>否</x:v>
      </x:c>
    </x:row>
    <x:row r="199" ht="54" customHeight="1">
      <x:c r="A199" s="78" t="str">
        <x:v>case-a416615b3365aa32</x:v>
      </x:c>
      <x:c r="B199" s="78" t="str">
        <x:v>zh</x:v>
      </x:c>
      <x:c r="C199" s="78" t="str">
        <x:v>ru</x:v>
      </x:c>
      <x:c r="D199" s="78" t="str">
        <x:v>出行</x:v>
      </x:c>
      <x:c r="E199" s="79" t="str">
        <x:v>这张票只能在今天使用，明天乘车需要另外买票。</x:v>
      </x:c>
      <x:c r="F199" s="79" t="str">
        <x:v>Этот билет можно использовать только сегодня, а завтра придётся купить дополнительный билет на машине.</x:v>
      </x:c>
      <x:c r="G199" s="80" t="str"/>
      <x:c r="H199" s="80" t="str"/>
      <x:c r="I199" s="79" t="str">
        <x:v>Этот билет можно использовать только сегодня, а завтра придётся купить дополнительный билет на машине.</x:v>
      </x:c>
      <x:c r="J199" s="80" t="str"/>
      <x:c r="K199" s="80" t="str"/>
      <x:c r="L199" s="80" t="str"/>
      <x:c r="M199" s="81" t="str"/>
      <x:c r="N199" s="82" t="str">
        <x:f>IF(F199=I199,"是","否")</x:f>
        <x:v>是</x:v>
      </x:c>
      <x:c r="O199" s="82" t="str">
        <x:f>IF(AND(G199&lt;&gt;"",J199&lt;&gt;""),"是","否")</x:f>
        <x:v>否</x:v>
      </x:c>
    </x:row>
    <x:row r="200" ht="54" customHeight="1">
      <x:c r="A200" s="78" t="str">
        <x:v>case-c05d1d2eea39053b</x:v>
      </x:c>
      <x:c r="B200" s="78" t="str">
        <x:v>ru</x:v>
      </x:c>
      <x:c r="C200" s="78" t="str">
        <x:v>uz</x:v>
      </x:c>
      <x:c r="D200" s="78" t="str">
        <x:v>工作学习</x:v>
      </x:c>
      <x:c r="E200" s="79" t="str">
        <x:v>Это предварительная оценка, а не окончательное решение. Не публикуйте её до согласования.</x:v>
      </x:c>
      <x:c r="F200" s="79" t="str">
        <x:v>Bu dastlabki ma'lumot emas, balki yakuniy ma'lumot. Muvofiqlikka erishmaguncha uni e'lon qilmang.</x:v>
      </x:c>
      <x:c r="G200" s="80" t="str"/>
      <x:c r="H200" s="80" t="str"/>
      <x:c r="I200" s="79" t="str">
        <x:v>Bu dastlabki baholash, yakuniy qaror emas. Uni kelishilgunga qadar nashr qilmang.</x:v>
      </x:c>
      <x:c r="J200" s="80" t="str"/>
      <x:c r="K200" s="80" t="str"/>
      <x:c r="L200" s="80" t="str"/>
      <x:c r="M200" s="81" t="str"/>
      <x:c r="N200" s="82" t="str">
        <x:f>IF(F200=I200,"是","否")</x:f>
        <x:v>否</x:v>
      </x:c>
      <x:c r="O200" s="82" t="str">
        <x:f>IF(AND(G200&lt;&gt;"",J200&lt;&gt;""),"是","否")</x:f>
        <x:v>否</x:v>
      </x:c>
    </x:row>
    <x:row r="201" ht="54" customHeight="1">
      <x:c r="A201" s="78" t="str">
        <x:v>case-511de19830a9b75a</x:v>
      </x:c>
      <x:c r="B201" s="78" t="str">
        <x:v>uz</x:v>
      </x:c>
      <x:c r="C201" s="78" t="str">
        <x:v>zh</x:v>
      </x:c>
      <x:c r="D201" s="78" t="str">
        <x:v>出行</x:v>
      </x:c>
      <x:c r="E201" s="79" t="str">
        <x:v>Bizga bir kechaga ikkita alohida karavotli xona kerak.</x:v>
      </x:c>
      <x:c r="F201" s="79" t="str">
        <x:v>我们每晚需要两个单独的房.</x:v>
      </x:c>
      <x:c r="G201" s="80" t="str"/>
      <x:c r="H201" s="80" t="str"/>
      <x:c r="I201" s="79" t="str">
        <x:v>我们每晚需要两个单独的房</x:v>
      </x:c>
      <x:c r="J201" s="80" t="str"/>
      <x:c r="K201" s="80" t="str"/>
      <x:c r="L201" s="80" t="str"/>
      <x:c r="M201" s="81" t="str"/>
      <x:c r="N201" s="82" t="str">
        <x:f>IF(F201=I201,"是","否")</x:f>
        <x:v>否</x:v>
      </x:c>
      <x:c r="O201" s="82" t="str">
        <x:f>IF(AND(G201&lt;&gt;"",J201&lt;&gt;""),"是","否")</x:f>
        <x:v>否</x:v>
      </x:c>
    </x:row>
    <x:row r="202" ht="54" customHeight="1">
      <x:c r="A202" s="78" t="str">
        <x:v>case-59dc23ee335e353e</x:v>
      </x:c>
      <x:c r="B202" s="78" t="str">
        <x:v>zh</x:v>
      </x:c>
      <x:c r="C202" s="78" t="str">
        <x:v>ru</x:v>
      </x:c>
      <x:c r="D202" s="78" t="str">
        <x:v>工作学习</x:v>
      </x:c>
      <x:c r="E202" s="79" t="str">
        <x:v>文件已经保存，但还没有发送给客户，请不要重复发送。</x:v>
      </x:c>
      <x:c r="F202" s="79" t="str">
        <x:v>Файлы были сохранены, но еще не отправлены клиентам, поэтому не отправляйте их снова.</x:v>
      </x:c>
      <x:c r="G202" s="80" t="str"/>
      <x:c r="H202" s="80" t="str"/>
      <x:c r="I202" s="79" t="str">
        <x:v>Файл сохранен, но еще не отправлен клиенту, поэтому не отправляйте его повторно.</x:v>
      </x:c>
      <x:c r="J202" s="80" t="str"/>
      <x:c r="K202" s="80" t="str"/>
      <x:c r="L202" s="80" t="str"/>
      <x:c r="M202" s="81" t="str"/>
      <x:c r="N202" s="82" t="str">
        <x:f>IF(F202=I202,"是","否")</x:f>
        <x:v>否</x:v>
      </x:c>
      <x:c r="O202" s="82" t="str">
        <x:f>IF(AND(G202&lt;&gt;"",J202&lt;&gt;""),"是","否")</x:f>
        <x:v>否</x:v>
      </x:c>
    </x:row>
    <x:row r="203" ht="54" customHeight="1">
      <x:c r="A203" s="78" t="str">
        <x:v>case-eab40f2c611dadcf</x:v>
      </x:c>
      <x:c r="B203" s="78" t="str">
        <x:v>ru</x:v>
      </x:c>
      <x:c r="C203" s="78" t="str">
        <x:v>zh</x:v>
      </x:c>
      <x:c r="D203" s="78" t="str">
        <x:v>日常</x:v>
      </x:c>
      <x:c r="E203" s="79" t="str">
        <x:v>Пожалуйста, оставьте окно приоткрытым, но выключите свет.</x:v>
      </x:c>
      <x:c r="F203" s="79" t="str">
        <x:v>请保持窗户开放,但关灯。</x:v>
      </x:c>
      <x:c r="G203" s="80" t="str"/>
      <x:c r="H203" s="80" t="str"/>
      <x:c r="I203" s="79" t="str">
        <x:v>请把窗户打开,但关灯。</x:v>
      </x:c>
      <x:c r="J203" s="80" t="str"/>
      <x:c r="K203" s="80" t="str"/>
      <x:c r="L203" s="80" t="str"/>
      <x:c r="M203" s="81" t="str"/>
      <x:c r="N203" s="82" t="str">
        <x:f>IF(F203=I203,"是","否")</x:f>
        <x:v>否</x:v>
      </x:c>
      <x:c r="O203" s="82" t="str">
        <x:f>IF(AND(G203&lt;&gt;"",J203&lt;&gt;""),"是","否")</x:f>
        <x:v>否</x:v>
      </x:c>
    </x:row>
    <x:row r="204" ht="54" customHeight="1">
      <x:c r="A204" s="78" t="str">
        <x:v>case-1a38693fc4ca108e</x:v>
      </x:c>
      <x:c r="B204" s="78" t="str">
        <x:v>ru</x:v>
      </x:c>
      <x:c r="C204" s="78" t="str">
        <x:v>zh</x:v>
      </x:c>
      <x:c r="D204" s="78" t="str">
        <x:v>日常</x:v>
      </x:c>
      <x:c r="E204" s="79" t="str">
        <x:v>Я смогу прийти не раньше семи. Если это поздно, давайте встретимся завтра.</x:v>
      </x:c>
      <x:c r="F204" s="79" t="str">
        <x:v>我可以在七点之前来。如果太晚,我们明天见面。</x:v>
      </x:c>
      <x:c r="G204" s="80" t="str"/>
      <x:c r="H204" s="80" t="str"/>
      <x:c r="I204" s="79" t="str">
        <x:v>我最早可以到七点。如果太晚,我们可以明天见面。</x:v>
      </x:c>
      <x:c r="J204" s="80" t="str"/>
      <x:c r="K204" s="80" t="str"/>
      <x:c r="L204" s="80" t="str"/>
      <x:c r="M204" s="81" t="str"/>
      <x:c r="N204" s="82" t="str">
        <x:f>IF(F204=I204,"是","否")</x:f>
        <x:v>否</x:v>
      </x:c>
      <x:c r="O204" s="82" t="str">
        <x:f>IF(AND(G204&lt;&gt;"",J204&lt;&gt;""),"是","否")</x:f>
        <x:v>否</x:v>
      </x:c>
    </x:row>
    <x:row r="205" ht="54" customHeight="1">
      <x:c r="A205" s="78" t="str">
        <x:v>case-a6ac599025afb6e5</x:v>
      </x:c>
      <x:c r="B205" s="78" t="str">
        <x:v>uz</x:v>
      </x:c>
      <x:c r="C205" s="78" t="str">
        <x:v>zh</x:v>
      </x:c>
      <x:c r="D205" s="78" t="str">
        <x:v>售后</x:v>
      </x:c>
      <x:c r="E205" s="79" t="str">
        <x:v>Mahsulotni qaytarishni emas, boshqa o'lchamdagisiga almashtirishni xohlayman.</x:v>
      </x:c>
      <x:c r="F205" s="79" t="str">
        <x:v>我想把产品换成另一个尺寸,而不是返回。</x:v>
      </x:c>
      <x:c r="G205" s="80" t="str"/>
      <x:c r="H205" s="80" t="str"/>
      <x:c r="I205" s="79" t="str">
        <x:v>我想把产品换成另一个尺寸,而不是返回.</x:v>
      </x:c>
      <x:c r="J205" s="80" t="str"/>
      <x:c r="K205" s="80" t="str"/>
      <x:c r="L205" s="80" t="str"/>
      <x:c r="M205" s="81" t="str"/>
      <x:c r="N205" s="82" t="str">
        <x:f>IF(F205=I205,"是","否")</x:f>
        <x:v>否</x:v>
      </x:c>
      <x:c r="O205" s="82" t="str">
        <x:f>IF(AND(G205&lt;&gt;"",J205&lt;&gt;""),"是","否")</x:f>
        <x:v>否</x:v>
      </x:c>
    </x:row>
    <x:row r="206" ht="54" customHeight="1">
      <x:c r="A206" s="78" t="str">
        <x:v>case-d82a34d6d1c20274</x:v>
      </x:c>
      <x:c r="B206" s="78" t="str">
        <x:v>uz</x:v>
      </x:c>
      <x:c r="C206" s="78" t="str">
        <x:v>en</x:v>
      </x:c>
      <x:c r="D206" s="78" t="str">
        <x:v>售后</x:v>
      </x:c>
      <x:c r="E206" s="79" t="str">
        <x:v>Qurilma quvvat olayotganda ishlaydi, ammo simni uzsam, darhol o'chadi.</x:v>
      </x:c>
      <x:c r="F206" s="79" t="str">
        <x:v>The device works when it is on power, but if I break the wire, it will turn off immediately.</x:v>
      </x:c>
      <x:c r="G206" s="80" t="str"/>
      <x:c r="H206" s="80" t="str"/>
      <x:c r="I206" s="79" t="str">
        <x:v>The device works when it is on power, but if I break the wire, it will turn off immediately.</x:v>
      </x:c>
      <x:c r="J206" s="80" t="str"/>
      <x:c r="K206" s="80" t="str"/>
      <x:c r="L206" s="80" t="str"/>
      <x:c r="M206" s="81" t="str"/>
      <x:c r="N206" s="82" t="str">
        <x:f>IF(F206=I206,"是","否")</x:f>
        <x:v>是</x:v>
      </x:c>
      <x:c r="O206" s="82" t="str">
        <x:f>IF(AND(G206&lt;&gt;"",J206&lt;&gt;""),"是","否")</x:f>
        <x:v>否</x:v>
      </x:c>
    </x:row>
    <x:row r="207" ht="54" customHeight="1">
      <x:c r="A207" s="78" t="str">
        <x:v>case-7ffd38e1ce337763</x:v>
      </x:c>
      <x:c r="B207" s="78" t="str">
        <x:v>zh</x:v>
      </x:c>
      <x:c r="C207" s="78" t="str">
        <x:v>ru</x:v>
      </x:c>
      <x:c r="D207" s="78" t="str">
        <x:v>出行</x:v>
      </x:c>
      <x:c r="E207" s="79" t="str">
        <x:v>我们有三个大人和一个孩子，需要两间房，住两晚。</x:v>
      </x:c>
      <x:c r="F207" s="79" t="str">
        <x:v>У нас трое взрослых и один ребенок, нам нужны две комнаты для двух ночей.</x:v>
      </x:c>
      <x:c r="G207" s="80" t="str"/>
      <x:c r="H207" s="80" t="str"/>
      <x:c r="I207" s="79" t="str">
        <x:v>У нас трое взрослых и один ребенок, нам нужны две комнаты, чтобы провести две ночи.</x:v>
      </x:c>
      <x:c r="J207" s="80" t="str"/>
      <x:c r="K207" s="80" t="str"/>
      <x:c r="L207" s="80" t="str"/>
      <x:c r="M207" s="81" t="str"/>
      <x:c r="N207" s="82" t="str">
        <x:f>IF(F207=I207,"是","否")</x:f>
        <x:v>否</x:v>
      </x:c>
      <x:c r="O207" s="82" t="str">
        <x:f>IF(AND(G207&lt;&gt;"",J207&lt;&gt;""),"是","否")</x:f>
        <x:v>否</x:v>
      </x:c>
    </x:row>
    <x:row r="208" ht="54" customHeight="1">
      <x:c r="A208" s="78" t="str">
        <x:v>case-aa06d37f0c3e4dc6</x:v>
      </x:c>
      <x:c r="B208" s="78" t="str">
        <x:v>uz</x:v>
      </x:c>
      <x:c r="C208" s="78" t="str">
        <x:v>ru</x:v>
      </x:c>
      <x:c r="D208" s="78" t="str">
        <x:v>工作学习</x:v>
      </x:c>
      <x:c r="E208" s="79" t="str">
        <x:v>Faqat ro'yxatdan o'tgan ishtirokchilarga sertifikat beriladi.</x:v>
      </x:c>
      <x:c r="F208" s="79" t="str">
        <x:v>Сертификат выдается только зарегистрированным участникам.</x:v>
      </x:c>
      <x:c r="G208" s="80" t="str"/>
      <x:c r="H208" s="80" t="str"/>
      <x:c r="I208" s="79" t="str">
        <x:v>Сертификат выдается только зарегистрированным участникам.</x:v>
      </x:c>
      <x:c r="J208" s="80" t="str"/>
      <x:c r="K208" s="80" t="str"/>
      <x:c r="L208" s="80" t="str"/>
      <x:c r="M208" s="81" t="str"/>
      <x:c r="N208" s="82" t="str">
        <x:f>IF(F208=I208,"是","否")</x:f>
        <x:v>是</x:v>
      </x:c>
      <x:c r="O208" s="82" t="str">
        <x:f>IF(AND(G208&lt;&gt;"",J208&lt;&gt;""),"是","否")</x:f>
        <x:v>否</x:v>
      </x:c>
    </x:row>
    <x:row r="209" ht="54" customHeight="1">
      <x:c r="A209" s="78" t="str">
        <x:v>case-8e1b264bb4f70842</x:v>
      </x:c>
      <x:c r="B209" s="78" t="str">
        <x:v>zh</x:v>
      </x:c>
      <x:c r="C209" s="78" t="str">
        <x:v>ru</x:v>
      </x:c>
      <x:c r="D209" s="78" t="str">
        <x:v>售后</x:v>
      </x:c>
      <x:c r="E209" s="79" t="str">
        <x:v>请只取消订单里的耳机，充电器仍然需要发货。</x:v>
      </x:c>
      <x:c r="F209" s="79" t="str">
        <x:v>Пожалуйста, просто отмените заказанные наушники, зарядное устройство по-прежнему должно быть отправлено.</x:v>
      </x:c>
      <x:c r="G209" s="80" t="str"/>
      <x:c r="H209" s="80" t="str"/>
      <x:c r="I209" s="79" t="str">
        <x:v>Только отмените заказанные наушники, зарядное устройство по-прежнему должно быть отправлено.</x:v>
      </x:c>
      <x:c r="J209" s="80" t="str"/>
      <x:c r="K209" s="80" t="str"/>
      <x:c r="L209" s="80" t="str"/>
      <x:c r="M209" s="81" t="str"/>
      <x:c r="N209" s="82" t="str">
        <x:f>IF(F209=I209,"是","否")</x:f>
        <x:v>否</x:v>
      </x:c>
      <x:c r="O209" s="82" t="str">
        <x:f>IF(AND(G209&lt;&gt;"",J209&lt;&gt;""),"是","否")</x:f>
        <x:v>否</x:v>
      </x:c>
    </x:row>
    <x:row r="210" ht="54" customHeight="1">
      <x:c r="A210" s="78" t="str">
        <x:v>case-66ed3aa09ad0f2be</x:v>
      </x:c>
      <x:c r="B210" s="78" t="str">
        <x:v>ru</x:v>
      </x:c>
      <x:c r="C210" s="78" t="str">
        <x:v>zh</x:v>
      </x:c>
      <x:c r="D210" s="78" t="str">
        <x:v>售后</x:v>
      </x:c>
      <x:c r="E210" s="79" t="str">
        <x:v>Если замены нет в наличии, верните деньги, пожалуйста, но не отправляйте другую модель без моего согласия.</x:v>
      </x:c>
      <x:c r="F210" s="79" t="str">
        <x:v>如果没有更换,请返钱,但请不要在我同意的情况下再发送其他模型。</x:v>
      </x:c>
      <x:c r="G210" s="80" t="str"/>
      <x:c r="H210" s="80" t="str"/>
      <x:c r="I210" s="79" t="str">
        <x:v>如果没有更换,请退款,但不要在没有我的同意的情况下发送另一个模型。</x:v>
      </x:c>
      <x:c r="J210" s="80" t="str"/>
      <x:c r="K210" s="80" t="str"/>
      <x:c r="L210" s="80" t="str"/>
      <x:c r="M210" s="81" t="str"/>
      <x:c r="N210" s="82" t="str">
        <x:f>IF(F210=I210,"是","否")</x:f>
        <x:v>否</x:v>
      </x:c>
      <x:c r="O210" s="82" t="str">
        <x:f>IF(AND(G210&lt;&gt;"",J210&lt;&gt;""),"是","否")</x:f>
        <x:v>否</x:v>
      </x:c>
    </x:row>
    <x:row r="211" ht="54" customHeight="1">
      <x:c r="A211" s="78" t="str">
        <x:v>case-39b654325b946710</x:v>
      </x:c>
      <x:c r="B211" s="78" t="str">
        <x:v>ru</x:v>
      </x:c>
      <x:c r="C211" s="78" t="str">
        <x:v>uz</x:v>
      </x:c>
      <x:c r="D211" s="78" t="str">
        <x:v>售后</x:v>
      </x:c>
      <x:c r="E211" s="79" t="str">
        <x:v>На сайте указана длина 1,5 метра, а на упаковке — 150 миллиметров. Какой размер верный?</x:v>
      </x:c>
      <x:c r="F211" s="79" t="str">
        <x:v>Saytda 1,5 metr uzunligi, paketda esa 150 millimetrligi ko'rsatilgan. Qaysi o'lcham to'g'ri?</x:v>
      </x:c>
      <x:c r="G211" s="80" t="str"/>
      <x:c r="H211" s="80" t="str"/>
      <x:c r="I211" s="79" t="str">
        <x:v>Veb-saytda 1,5 metr uzunligi, paketda esa 150 millimetrligi ko'rsatilgan. Qaysi o'lcham to'g'ri?</x:v>
      </x:c>
      <x:c r="J211" s="80" t="str"/>
      <x:c r="K211" s="80" t="str"/>
      <x:c r="L211" s="80" t="str"/>
      <x:c r="M211" s="81" t="str"/>
      <x:c r="N211" s="82" t="str">
        <x:f>IF(F211=I211,"是","否")</x:f>
        <x:v>否</x:v>
      </x:c>
      <x:c r="O211" s="82" t="str">
        <x:f>IF(AND(G211&lt;&gt;"",J211&lt;&gt;""),"是","否")</x:f>
        <x:v>否</x:v>
      </x:c>
    </x:row>
    <x:row r="212" ht="54" customHeight="1">
      <x:c r="A212" s="78" t="str">
        <x:v>case-f81ec0154a294209</x:v>
      </x:c>
      <x:c r="B212" s="78" t="str">
        <x:v>ru</x:v>
      </x:c>
      <x:c r="C212" s="78" t="str">
        <x:v>zh</x:v>
      </x:c>
      <x:c r="D212" s="78" t="str">
        <x:v>出行</x:v>
      </x:c>
      <x:c r="E212" s="79" t="str">
        <x:v>Можно ли выйти на следующей остановке и пересесть на тот же маршрут в обратную сторону?</x:v>
      </x:c>
      <x:c r="F212" s="79" t="str">
        <x:v>可以喺下一站停车,同样往返路线吗?</x:v>
      </x:c>
      <x:c r="G212" s="80" t="str"/>
      <x:c r="H212" s="80" t="str"/>
      <x:c r="I212" s="79" t="str">
        <x:v>我可以在下一站停车,然后往后面坐同一条路线吗?</x:v>
      </x:c>
      <x:c r="J212" s="80" t="str"/>
      <x:c r="K212" s="80" t="str"/>
      <x:c r="L212" s="80" t="str"/>
      <x:c r="M212" s="81" t="str"/>
      <x:c r="N212" s="82" t="str">
        <x:f>IF(F212=I212,"是","否")</x:f>
        <x:v>否</x:v>
      </x:c>
      <x:c r="O212" s="82" t="str">
        <x:f>IF(AND(G212&lt;&gt;"",J212&lt;&gt;""),"是","否")</x:f>
        <x:v>否</x:v>
      </x:c>
    </x:row>
    <x:row r="213" ht="54" customHeight="1">
      <x:c r="A213" s="78" t="str">
        <x:v>case-fa0c5fe0202179a4</x:v>
      </x:c>
      <x:c r="B213" s="78" t="str">
        <x:v>en</x:v>
      </x:c>
      <x:c r="C213" s="78" t="str">
        <x:v>uz</x:v>
      </x:c>
      <x:c r="D213" s="78" t="str">
        <x:v>日常</x:v>
      </x:c>
      <x:c r="E213" s="79" t="str">
        <x:v>Maya said she would pick up Leo, not that Leo would pick her up.</x:v>
      </x:c>
      <x:c r="F213" s="79" t="str">
        <x:v>Mayya Leo'ni olib ketishini aytdi, Leo uni olib ketishini aytmadi.</x:v>
      </x:c>
      <x:c r="G213" s="80" t="str"/>
      <x:c r="H213" s="80" t="str"/>
      <x:c r="I213" s="79" t="str">
        <x:v>Maya Leo'ni olib kelishini aytdi, Leo uni olib kelishini aytmadi.</x:v>
      </x:c>
      <x:c r="J213" s="80" t="str"/>
      <x:c r="K213" s="80" t="str"/>
      <x:c r="L213" s="80" t="str"/>
      <x:c r="M213" s="81" t="str"/>
      <x:c r="N213" s="82" t="str">
        <x:f>IF(F213=I213,"是","否")</x:f>
        <x:v>否</x:v>
      </x:c>
      <x:c r="O213" s="82" t="str">
        <x:f>IF(AND(G213&lt;&gt;"",J213&lt;&gt;""),"是","否")</x:f>
        <x:v>否</x:v>
      </x:c>
    </x:row>
    <x:row r="214" ht="54" customHeight="1">
      <x:c r="A214" s="78" t="str">
        <x:v>case-e2ed30f4e94f50ba</x:v>
      </x:c>
      <x:c r="B214" s="78" t="str">
        <x:v>en</x:v>
      </x:c>
      <x:c r="C214" s="78" t="str">
        <x:v>ru</x:v>
      </x:c>
      <x:c r="D214" s="78" t="str">
        <x:v>出行</x:v>
      </x:c>
      <x:c r="E214" s="79" t="str">
        <x:v>Please drop us at the side entrance, not the main gate; our bags are already there.</x:v>
      </x:c>
      <x:c r="F214" s="79" t="str">
        <x:v>Пожалуйста, оставьте нас на боковом входе, а не на главных воротах; наши сумки уже там.</x:v>
      </x:c>
      <x:c r="G214" s="80" t="str"/>
      <x:c r="H214" s="80" t="str"/>
      <x:c r="I214" s="79" t="str">
        <x:v>Пожалуйста, оставьте нас на боковом входе, а не на главных воротах; наши сумки уже там.</x:v>
      </x:c>
      <x:c r="J214" s="80" t="str"/>
      <x:c r="K214" s="80" t="str"/>
      <x:c r="L214" s="80" t="str"/>
      <x:c r="M214" s="81" t="str"/>
      <x:c r="N214" s="82" t="str">
        <x:f>IF(F214=I214,"是","否")</x:f>
        <x:v>是</x:v>
      </x:c>
      <x:c r="O214" s="82" t="str">
        <x:f>IF(AND(G214&lt;&gt;"",J214&lt;&gt;""),"是","否")</x:f>
        <x:v>否</x:v>
      </x:c>
    </x:row>
    <x:row r="215" ht="54" customHeight="1">
      <x:c r="A215" s="78" t="str">
        <x:v>case-01cc0edf2c5c4257</x:v>
      </x:c>
      <x:c r="B215" s="78" t="str">
        <x:v>ru</x:v>
      </x:c>
      <x:c r="C215" s="78" t="str">
        <x:v>zh</x:v>
      </x:c>
      <x:c r="D215" s="78" t="str">
        <x:v>日常</x:v>
      </x:c>
      <x:c r="E215" s="79" t="str">
        <x:v>Мне нужен не горячий, а тёплый чай, без сахара.</x:v>
      </x:c>
      <x:c r="F215" s="79" t="str">
        <x:v>我不需要热茶,而是热茶,没有糖。</x:v>
      </x:c>
      <x:c r="G215" s="80" t="str"/>
      <x:c r="H215" s="80" t="str"/>
      <x:c r="I215" s="79" t="str">
        <x:v>我唔需要热嘅茶,我需要冇糖嘅热茶。</x:v>
      </x:c>
      <x:c r="J215" s="80" t="str"/>
      <x:c r="K215" s="80" t="str"/>
      <x:c r="L215" s="80" t="str"/>
      <x:c r="M215" s="81" t="str"/>
      <x:c r="N215" s="82" t="str">
        <x:f>IF(F215=I215,"是","否")</x:f>
        <x:v>否</x:v>
      </x:c>
      <x:c r="O215" s="82" t="str">
        <x:f>IF(AND(G215&lt;&gt;"",J215&lt;&gt;""),"是","否")</x:f>
        <x:v>否</x:v>
      </x:c>
    </x:row>
    <x:row r="216" ht="54" customHeight="1">
      <x:c r="A216" s="78" t="str">
        <x:v>case-b5f7a8312e64cd5d</x:v>
      </x:c>
      <x:c r="B216" s="78" t="str">
        <x:v>en</x:v>
      </x:c>
      <x:c r="C216" s="78" t="str">
        <x:v>zh</x:v>
      </x:c>
      <x:c r="D216" s="78" t="str">
        <x:v>出行</x:v>
      </x:c>
      <x:c r="E216" s="79" t="str">
        <x:v>Does this bus stop near the museum, or will I need to change at the station?</x:v>
      </x:c>
      <x:c r="F216" s="79" t="str">
        <x:v>这辆公交车在博物馆附近停车,还是我需要在车站换衣服?</x:v>
      </x:c>
      <x:c r="G216" s="80" t="str"/>
      <x:c r="H216" s="80" t="str"/>
      <x:c r="I216" s="79" t="str">
        <x:v>这辆公车在博物馆附近停车,还是我需要在车站换衣服?</x:v>
      </x:c>
      <x:c r="J216" s="80" t="str"/>
      <x:c r="K216" s="80" t="str"/>
      <x:c r="L216" s="80" t="str"/>
      <x:c r="M216" s="81" t="str"/>
      <x:c r="N216" s="82" t="str">
        <x:f>IF(F216=I216,"是","否")</x:f>
        <x:v>否</x:v>
      </x:c>
      <x:c r="O216" s="82" t="str">
        <x:f>IF(AND(G216&lt;&gt;"",J216&lt;&gt;""),"是","否")</x:f>
        <x:v>否</x:v>
      </x:c>
    </x:row>
    <x:row r="217" ht="54" customHeight="1">
      <x:c r="A217" s="78" t="str">
        <x:v>case-ab4d0882935431fa</x:v>
      </x:c>
      <x:c r="B217" s="78" t="str">
        <x:v>en</x:v>
      </x:c>
      <x:c r="C217" s="78" t="str">
        <x:v>uz</x:v>
      </x:c>
      <x:c r="D217" s="78" t="str">
        <x:v>出行</x:v>
      </x:c>
      <x:c r="E217" s="79" t="str">
        <x:v>The lift is out of service. Is there another step-free way to reach the platform?</x:v>
      </x:c>
      <x:c r="F217" s="79" t="str">
        <x:v>Lift xizmatdan bo'shatildi. Platformaga yetib borish uchun boshqa qadamsiz yo'l bormi?</x:v>
      </x:c>
      <x:c r="G217" s="80" t="str"/>
      <x:c r="H217" s="80" t="str"/>
      <x:c r="I217" s="79" t="str">
        <x:v>Lift xizmatini tugatdi. Platformaga borish uchun yana bir qadamsiz yo'l bormi?</x:v>
      </x:c>
      <x:c r="J217" s="80" t="str"/>
      <x:c r="K217" s="80" t="str"/>
      <x:c r="L217" s="80" t="str"/>
      <x:c r="M217" s="81" t="str"/>
      <x:c r="N217" s="82" t="str">
        <x:f>IF(F217=I217,"是","否")</x:f>
        <x:v>否</x:v>
      </x:c>
      <x:c r="O217" s="82" t="str">
        <x:f>IF(AND(G217&lt;&gt;"",J217&lt;&gt;""),"是","否")</x:f>
        <x:v>否</x:v>
      </x:c>
    </x:row>
    <x:row r="218" ht="54" customHeight="1">
      <x:c r="A218" s="78" t="str">
        <x:v>case-848d27b77fc55d12</x:v>
      </x:c>
      <x:c r="B218" s="78" t="str">
        <x:v>uz</x:v>
      </x:c>
      <x:c r="C218" s="78" t="str">
        <x:v>en</x:v>
      </x:c>
      <x:c r="D218" s="78" t="str">
        <x:v>出行</x:v>
      </x:c>
      <x:c r="E218" s="79" t="str">
        <x:v>Agar avtobus o'n daqiqada kelmasa, taksida ketamiz.</x:v>
      </x:c>
      <x:c r="F218" s="79" t="str">
        <x:v>If the bus does not arrive in ten minutes, we take a taxi.</x:v>
      </x:c>
      <x:c r="G218" s="80" t="str"/>
      <x:c r="H218" s="80" t="str"/>
      <x:c r="I218" s="79" t="str">
        <x:v>If the bus does not arrive in ten minutes, we take a taxi.</x:v>
      </x:c>
      <x:c r="J218" s="80" t="str"/>
      <x:c r="K218" s="80" t="str"/>
      <x:c r="L218" s="80" t="str"/>
      <x:c r="M218" s="81" t="str"/>
      <x:c r="N218" s="82" t="str">
        <x:f>IF(F218=I218,"是","否")</x:f>
        <x:v>是</x:v>
      </x:c>
      <x:c r="O218" s="82" t="str">
        <x:f>IF(AND(G218&lt;&gt;"",J218&lt;&gt;""),"是","否")</x:f>
        <x:v>否</x:v>
      </x:c>
    </x:row>
    <x:row r="219" ht="54" customHeight="1">
      <x:c r="A219" s="78" t="str">
        <x:v>case-45538af90f1b5179</x:v>
      </x:c>
      <x:c r="B219" s="78" t="str">
        <x:v>ru</x:v>
      </x:c>
      <x:c r="C219" s="78" t="str">
        <x:v>zh</x:v>
      </x:c>
      <x:c r="D219" s="78" t="str">
        <x:v>售后</x:v>
      </x:c>
      <x:c r="E219" s="79" t="str">
        <x:v>Я отменил только вторую доставку. Первую отменять не нужно.</x:v>
      </x:c>
      <x:c r="F219" s="79" t="str">
        <x:v>我只取消了第二次发货。你不需要取消第一次发货。</x:v>
      </x:c>
      <x:c r="G219" s="80" t="str"/>
      <x:c r="H219" s="80" t="str"/>
      <x:c r="I219" s="79" t="str">
        <x:v>我只取消咗第二个发货。唔需要取消第一个发货。</x:v>
      </x:c>
      <x:c r="J219" s="80" t="str"/>
      <x:c r="K219" s="80" t="str"/>
      <x:c r="L219" s="80" t="str"/>
      <x:c r="M219" s="81" t="str"/>
      <x:c r="N219" s="82" t="str">
        <x:f>IF(F219=I219,"是","否")</x:f>
        <x:v>否</x:v>
      </x:c>
      <x:c r="O219" s="82" t="str">
        <x:f>IF(AND(G219&lt;&gt;"",J219&lt;&gt;""),"是","否")</x:f>
        <x:v>否</x:v>
      </x:c>
    </x:row>
    <x:row r="220" ht="54" customHeight="1">
      <x:c r="A220" s="78" t="str">
        <x:v>case-a80f694f4f44c834</x:v>
      </x:c>
      <x:c r="B220" s="78" t="str">
        <x:v>en</x:v>
      </x:c>
      <x:c r="C220" s="78" t="str">
        <x:v>ru</x:v>
      </x:c>
      <x:c r="D220" s="78" t="str">
        <x:v>工作学习</x:v>
      </x:c>
      <x:c r="E220" s="79" t="str">
        <x:v>The figures in column C are estimates, whereas those in column D have been confirmed.</x:v>
      </x:c>
      <x:c r="F220" s="79" t="str">
        <x:v>Цифры в столбце С являются оценками, в то время как цифры в столбце Д подтверждены.</x:v>
      </x:c>
      <x:c r="G220" s="80" t="str"/>
      <x:c r="H220" s="80" t="str"/>
      <x:c r="I220" s="79" t="str">
        <x:v>Цифры в столбце C являются оценками, в то время как цифры в столбце D подтверждены.</x:v>
      </x:c>
      <x:c r="J220" s="80" t="str"/>
      <x:c r="K220" s="80" t="str"/>
      <x:c r="L220" s="80" t="str"/>
      <x:c r="M220" s="81" t="str"/>
      <x:c r="N220" s="82" t="str">
        <x:f>IF(F220=I220,"是","否")</x:f>
        <x:v>否</x:v>
      </x:c>
      <x:c r="O220" s="82" t="str">
        <x:f>IF(AND(G220&lt;&gt;"",J220&lt;&gt;""),"是","否")</x:f>
        <x:v>否</x:v>
      </x:c>
    </x:row>
    <x:row r="221" ht="54" customHeight="1">
      <x:c r="A221" s="78" t="str">
        <x:v>case-c9466c72b6ce4ffe</x:v>
      </x:c>
      <x:c r="B221" s="78" t="str">
        <x:v>en</x:v>
      </x:c>
      <x:c r="C221" s="78" t="str">
        <x:v>ru</x:v>
      </x:c>
      <x:c r="D221" s="78" t="str">
        <x:v>工作学习</x:v>
      </x:c>
      <x:c r="E221" s="79" t="str">
        <x:v>We need the draft by noon, but the final version can wait until Friday.</x:v>
      </x:c>
      <x:c r="F221" s="79" t="str">
        <x:v>Нам нужен проект к полудня, но окончательная версия может подождать до пятницы.</x:v>
      </x:c>
      <x:c r="G221" s="80" t="str"/>
      <x:c r="H221" s="80" t="str"/>
      <x:c r="I221" s="79" t="str">
        <x:v>Нам нужен проект к полудня, но окончательная версия может подождать до пятницы.</x:v>
      </x:c>
      <x:c r="J221" s="80" t="str"/>
      <x:c r="K221" s="80" t="str"/>
      <x:c r="L221" s="80" t="str"/>
      <x:c r="M221" s="81" t="str"/>
      <x:c r="N221" s="82" t="str">
        <x:f>IF(F221=I221,"是","否")</x:f>
        <x:v>是</x:v>
      </x:c>
      <x:c r="O221" s="82" t="str">
        <x:f>IF(AND(G221&lt;&gt;"",J221&lt;&gt;""),"是","否")</x:f>
        <x:v>否</x:v>
      </x:c>
    </x:row>
    <x:row r="222" ht="54" customHeight="1">
      <x:c r="A222" s="78" t="str">
        <x:v>case-4bc1a78ae0df16e9</x:v>
      </x:c>
      <x:c r="B222" s="78" t="str">
        <x:v>zh</x:v>
      </x:c>
      <x:c r="C222" s="78" t="str">
        <x:v>uz</x:v>
      </x:c>
      <x:c r="D222" s="78" t="str">
        <x:v>出行</x:v>
      </x:c>
      <x:c r="E222" s="79" t="str">
        <x:v>我的行李不是丢了，而是留在上一辆出租车的后备箱里了。</x:v>
      </x:c>
      <x:c r="F222" s="79" t="str">
        <x:v>Mening bagajim yo'qolmadi, balki o'tgan taksidagi zaxira qutisida qoldi.</x:v>
      </x:c>
      <x:c r="G222" s="80" t="str"/>
      <x:c r="H222" s="80" t="str"/>
      <x:c r="I222" s="79" t="str">
        <x:v>Mening bagajim yo'qolmadi, balki o'tgan taksidagi zaxira qutisida qoldi.</x:v>
      </x:c>
      <x:c r="J222" s="80" t="str"/>
      <x:c r="K222" s="80" t="str"/>
      <x:c r="L222" s="80" t="str"/>
      <x:c r="M222" s="81" t="str"/>
      <x:c r="N222" s="82" t="str">
        <x:f>IF(F222=I222,"是","否")</x:f>
        <x:v>是</x:v>
      </x:c>
      <x:c r="O222" s="82" t="str">
        <x:f>IF(AND(G222&lt;&gt;"",J222&lt;&gt;""),"是","否")</x:f>
        <x:v>否</x:v>
      </x:c>
    </x:row>
    <x:row r="223" ht="54" customHeight="1">
      <x:c r="A223" s="78" t="str">
        <x:v>case-1bb0d3bb6ad3098e</x:v>
      </x:c>
      <x:c r="B223" s="78" t="str">
        <x:v>uz</x:v>
      </x:c>
      <x:c r="C223" s="78" t="str">
        <x:v>en</x:v>
      </x:c>
      <x:c r="D223" s="78" t="str">
        <x:v>日常</x:v>
      </x:c>
      <x:c r="E223" s="79" t="str">
        <x:v>Men sizga qo'ng'iroq qilganimda yo'lda edim, shuning uchun gapim yaxshi eshitilmagan bo'lishi mumkin.</x:v>
      </x:c>
      <x:c r="F223" s="79" t="str">
        <x:v>I was on the way when I called you, so I may not have been heard well.</x:v>
      </x:c>
      <x:c r="G223" s="80" t="str"/>
      <x:c r="H223" s="80" t="str"/>
      <x:c r="I223" s="79" t="str">
        <x:v>I was on my way when I called you, so my speech may not have been well heard.</x:v>
      </x:c>
      <x:c r="J223" s="80" t="str"/>
      <x:c r="K223" s="80" t="str"/>
      <x:c r="L223" s="80" t="str"/>
      <x:c r="M223" s="81" t="str"/>
      <x:c r="N223" s="82" t="str">
        <x:f>IF(F223=I223,"是","否")</x:f>
        <x:v>否</x:v>
      </x:c>
      <x:c r="O223" s="82" t="str">
        <x:f>IF(AND(G223&lt;&gt;"",J223&lt;&gt;""),"是","否")</x:f>
        <x:v>否</x:v>
      </x:c>
    </x:row>
    <x:row r="224" ht="54" customHeight="1">
      <x:c r="A224" s="78" t="str">
        <x:v>case-350c8dcb8862c0ce</x:v>
      </x:c>
      <x:c r="B224" s="78" t="str">
        <x:v>uz</x:v>
      </x:c>
      <x:c r="C224" s="78" t="str">
        <x:v>ru</x:v>
      </x:c>
      <x:c r="D224" s="78" t="str">
        <x:v>日常</x:v>
      </x:c>
      <x:c r="E224" s="79" t="str">
        <x:v>Dilshod kitobni menga emas, Nodiraga bergan. Kitobni undan so'rang.</x:v>
      </x:c>
      <x:c r="F224" s="79" t="str">
        <x:v>Дилшод дал книгу Нодиру, а не мне.</x:v>
      </x:c>
      <x:c r="G224" s="80" t="str"/>
      <x:c r="H224" s="80" t="str"/>
      <x:c r="I224" s="79" t="str">
        <x:v>Дилшод дал книгу Нодира, а не мне.</x:v>
      </x:c>
      <x:c r="J224" s="80" t="str"/>
      <x:c r="K224" s="80" t="str"/>
      <x:c r="L224" s="80" t="str"/>
      <x:c r="M224" s="81" t="str"/>
      <x:c r="N224" s="82" t="str">
        <x:f>IF(F224=I224,"是","否")</x:f>
        <x:v>否</x:v>
      </x:c>
      <x:c r="O224" s="82" t="str">
        <x:f>IF(AND(G224&lt;&gt;"",J224&lt;&gt;""),"是","否")</x:f>
        <x:v>否</x:v>
      </x:c>
    </x:row>
    <x:row r="225" ht="54" customHeight="1">
      <x:c r="A225" s="78" t="str">
        <x:v>case-c9dc1b5e930b437f</x:v>
      </x:c>
      <x:c r="B225" s="78" t="str">
        <x:v>en</x:v>
      </x:c>
      <x:c r="C225" s="78" t="str">
        <x:v>zh</x:v>
      </x:c>
      <x:c r="D225" s="78" t="str">
        <x:v>出行</x:v>
      </x:c>
      <x:c r="E225" s="79" t="str">
        <x:v>Our flight arrives at 11:40 p.m., so we'll need to check in after midnight.</x:v>
      </x:c>
      <x:c r="F225" s="79" t="str">
        <x:v>我们的航班在晚上11点40分抵达,所以我们需要在午夜后登录。</x:v>
      </x:c>
      <x:c r="G225" s="80" t="str"/>
      <x:c r="H225" s="80" t="str"/>
      <x:c r="I225" s="79" t="str">
        <x:v>我们的航班在晚上11点40分抵达,所以我们需要在午夜后登记。</x:v>
      </x:c>
      <x:c r="J225" s="80" t="str"/>
      <x:c r="K225" s="80" t="str"/>
      <x:c r="L225" s="80" t="str"/>
      <x:c r="M225" s="81" t="str"/>
      <x:c r="N225" s="82" t="str">
        <x:f>IF(F225=I225,"是","否")</x:f>
        <x:v>否</x:v>
      </x:c>
      <x:c r="O225" s="82" t="str">
        <x:f>IF(AND(G225&lt;&gt;"",J225&lt;&gt;""),"是","否")</x:f>
        <x:v>否</x:v>
      </x:c>
    </x:row>
    <x:row r="226" ht="54" customHeight="1">
      <x:c r="A226" s="78" t="str">
        <x:v>case-d9883232e6301e24</x:v>
      </x:c>
      <x:c r="B226" s="78" t="str">
        <x:v>zh</x:v>
      </x:c>
      <x:c r="C226" s="78" t="str">
        <x:v>ru</x:v>
      </x:c>
      <x:c r="D226" s="78" t="str">
        <x:v>售后</x:v>
      </x:c>
      <x:c r="E226" s="79" t="str">
        <x:v>页面上写的是每包五百克，不是五百毫升，请确认标签是否贴错。</x:v>
      </x:c>
      <x:c r="F226" s="79" t="str">
        <x:v>На странице написано: "Пятьсот пакетов на пачку, а не пятьсот миллилитров".</x:v>
      </x:c>
      <x:c r="G226" s="80" t="str"/>
      <x:c r="H226" s="80" t="str"/>
      <x:c r="I226" s="79" t="str">
        <x:v>На странице написано: пятьсот пакетов за пачку, а не пятьсот миллилитров. Убедитесь, что этикетки неправильно напечатаны.</x:v>
      </x:c>
      <x:c r="J226" s="80" t="str"/>
      <x:c r="K226" s="80" t="str"/>
      <x:c r="L226" s="80" t="str"/>
      <x:c r="M226" s="81" t="str"/>
      <x:c r="N226" s="82" t="str">
        <x:f>IF(F226=I226,"是","否")</x:f>
        <x:v>否</x:v>
      </x:c>
      <x:c r="O226" s="82" t="str">
        <x:f>IF(AND(G226&lt;&gt;"",J226&lt;&gt;""),"是","否")</x:f>
        <x:v>否</x:v>
      </x:c>
    </x:row>
    <x:row r="227" ht="54" customHeight="1">
      <x:c r="A227" s="78" t="str">
        <x:v>case-5245f66e1851d1e4</x:v>
      </x:c>
      <x:c r="B227" s="78" t="str">
        <x:v>uz</x:v>
      </x:c>
      <x:c r="C227" s="78" t="str">
        <x:v>en</x:v>
      </x:c>
      <x:c r="D227" s="78" t="str">
        <x:v>日常</x:v>
      </x:c>
      <x:c r="E227" s="79" t="str">
        <x:v>Choyga limon soling, shakar esa kerak emas.</x:v>
      </x:c>
      <x:c r="F227" s="79" t="str">
        <x:v>Add lemon to tea, and no sugar is needed.</x:v>
      </x:c>
      <x:c r="G227" s="80" t="str"/>
      <x:c r="H227" s="80" t="str"/>
      <x:c r="I227" s="79" t="str">
        <x:v>Add lemon to tea, and no sugar is needed.</x:v>
      </x:c>
      <x:c r="J227" s="80" t="str"/>
      <x:c r="K227" s="80" t="str"/>
      <x:c r="L227" s="80" t="str"/>
      <x:c r="M227" s="81" t="str"/>
      <x:c r="N227" s="82" t="str">
        <x:f>IF(F227=I227,"是","否")</x:f>
        <x:v>是</x:v>
      </x:c>
      <x:c r="O227" s="82" t="str">
        <x:f>IF(AND(G227&lt;&gt;"",J227&lt;&gt;""),"是","否")</x:f>
        <x:v>否</x:v>
      </x:c>
    </x:row>
    <x:row r="228" ht="54" customHeight="1">
      <x:c r="A228" s="78" t="str">
        <x:v>case-aba25d975bd95520</x:v>
      </x:c>
      <x:c r="B228" s="78" t="str">
        <x:v>ru</x:v>
      </x:c>
      <x:c r="C228" s="78" t="str">
        <x:v>en</x:v>
      </x:c>
      <x:c r="D228" s="78" t="str">
        <x:v>工作学习</x:v>
      </x:c>
      <x:c r="E228" s="79" t="str">
        <x:v>Срок сдачи перенесли с понедельника на среду, но время осталось прежним — 18:00.</x:v>
      </x:c>
      <x:c r="F228" s="79" t="str">
        <x:v>The deadline for delivery was moved from Monday to Wednesday, but the time remained the same: 18:00.</x:v>
      </x:c>
      <x:c r="G228" s="80" t="str"/>
      <x:c r="H228" s="80" t="str"/>
      <x:c r="I228" s="79" t="str">
        <x:v>The deadline was moved from Monday to Wednesday, but the time remained the same: 6 p.m.</x:v>
      </x:c>
      <x:c r="J228" s="80" t="str"/>
      <x:c r="K228" s="80" t="str"/>
      <x:c r="L228" s="80" t="str"/>
      <x:c r="M228" s="81" t="str"/>
      <x:c r="N228" s="82" t="str">
        <x:f>IF(F228=I228,"是","否")</x:f>
        <x:v>否</x:v>
      </x:c>
      <x:c r="O228" s="82" t="str">
        <x:f>IF(AND(G228&lt;&gt;"",J228&lt;&gt;""),"是","否")</x:f>
        <x:v>否</x:v>
      </x:c>
    </x:row>
    <x:row r="229" ht="54" customHeight="1">
      <x:c r="A229" s="78" t="str">
        <x:v>case-c6fdc49c1cd44dc9</x:v>
      </x:c>
      <x:c r="B229" s="78" t="str">
        <x:v>en</x:v>
      </x:c>
      <x:c r="C229" s="78" t="str">
        <x:v>zh</x:v>
      </x:c>
      <x:c r="D229" s="78" t="str">
        <x:v>日常</x:v>
      </x:c>
      <x:c r="E229" s="79" t="str">
        <x:v>Keep one slice for Sam and share the rest between the two of you.</x:v>
      </x:c>
      <x:c r="F229" s="79" t="str">
        <x:v>给萨姆留下一片,剩下的分别给你们两个。</x:v>
      </x:c>
      <x:c r="G229" s="80" t="str"/>
      <x:c r="H229" s="80" t="str"/>
      <x:c r="I229" s="79" t="str">
        <x:v>给萨姆留一片,剩下的分别给你们两个。</x:v>
      </x:c>
      <x:c r="J229" s="80" t="str"/>
      <x:c r="K229" s="80" t="str"/>
      <x:c r="L229" s="80" t="str"/>
      <x:c r="M229" s="81" t="str"/>
      <x:c r="N229" s="82" t="str">
        <x:f>IF(F229=I229,"是","否")</x:f>
        <x:v>否</x:v>
      </x:c>
      <x:c r="O229" s="82" t="str">
        <x:f>IF(AND(G229&lt;&gt;"",J229&lt;&gt;""),"是","否")</x:f>
        <x:v>否</x:v>
      </x:c>
    </x:row>
    <x:row r="230" ht="54" customHeight="1">
      <x:c r="A230" s="78" t="str">
        <x:v>case-bb9e7df4320af08e</x:v>
      </x:c>
      <x:c r="B230" s="78" t="str">
        <x:v>ru</x:v>
      </x:c>
      <x:c r="C230" s="78" t="str">
        <x:v>en</x:v>
      </x:c>
      <x:c r="D230" s="78" t="str">
        <x:v>出行</x:v>
      </x:c>
      <x:c r="E230" s="79" t="str">
        <x:v>Можно ли выйти на следующей остановке и пересесть на тот же маршрут в обратную сторону?</x:v>
      </x:c>
      <x:c r="F230" s="79" t="str">
        <x:v>Is it possible to exit at the next stop and switch to the same route in the opposite direction?</x:v>
      </x:c>
      <x:c r="G230" s="80" t="str"/>
      <x:c r="H230" s="80" t="str"/>
      <x:c r="I230" s="79" t="str">
        <x:v>Is it possible to exit at the next stop and switch to the same route in the opposite direction?</x:v>
      </x:c>
      <x:c r="J230" s="80" t="str"/>
      <x:c r="K230" s="80" t="str"/>
      <x:c r="L230" s="80" t="str"/>
      <x:c r="M230" s="81" t="str"/>
      <x:c r="N230" s="82" t="str">
        <x:f>IF(F230=I230,"是","否")</x:f>
        <x:v>是</x:v>
      </x:c>
      <x:c r="O230" s="82" t="str">
        <x:f>IF(AND(G230&lt;&gt;"",J230&lt;&gt;""),"是","否")</x:f>
        <x:v>否</x:v>
      </x:c>
    </x:row>
    <x:row r="231" ht="54" customHeight="1">
      <x:c r="A231" s="78" t="str">
        <x:v>case-efce2398c4fe6918</x:v>
      </x:c>
      <x:c r="B231" s="78" t="str">
        <x:v>en</x:v>
      </x:c>
      <x:c r="C231" s="78" t="str">
        <x:v>zh</x:v>
      </x:c>
      <x:c r="D231" s="78" t="str">
        <x:v>出行</x:v>
      </x:c>
      <x:c r="E231" s="79" t="str">
        <x:v>The lift is out of service. Is there another step-free way to reach the platform?</x:v>
      </x:c>
      <x:c r="F231" s="79" t="str">
        <x:v>电梯停用了。有没有另一个无步可达平台的路径?</x:v>
      </x:c>
      <x:c r="G231" s="80" t="str"/>
      <x:c r="H231" s="80" t="str"/>
      <x:c r="I231" s="79" t="str">
        <x:v>电梯已经停用了。有没有其他无步的途径才能到达平台?</x:v>
      </x:c>
      <x:c r="J231" s="80" t="str"/>
      <x:c r="K231" s="80" t="str"/>
      <x:c r="L231" s="80" t="str"/>
      <x:c r="M231" s="81" t="str"/>
      <x:c r="N231" s="82" t="str">
        <x:f>IF(F231=I231,"是","否")</x:f>
        <x:v>否</x:v>
      </x:c>
      <x:c r="O231" s="82" t="str">
        <x:f>IF(AND(G231&lt;&gt;"",J231&lt;&gt;""),"是","否")</x:f>
        <x:v>否</x:v>
      </x:c>
    </x:row>
    <x:row r="232" ht="54" customHeight="1">
      <x:c r="A232" s="78" t="str">
        <x:v>case-b87a5838ed0909cd</x:v>
      </x:c>
      <x:c r="B232" s="78" t="str">
        <x:v>zh</x:v>
      </x:c>
      <x:c r="C232" s="78" t="str">
        <x:v>uz</x:v>
      </x:c>
      <x:c r="D232" s="78" t="str">
        <x:v>出行</x:v>
      </x:c>
      <x:c r="E232" s="79" t="str">
        <x:v>请把周四下午两点的预约改到周五上午十点，不要取消预约。</x:v>
      </x:c>
      <x:c r="F232" s="79" t="str">
        <x:v>Chorshanba kuni kechqurun soat ikkiga belgilangan vaqtni juma kuni ertalab soat o'n gachaga o'zgartiring va belgilangan vaqtni bekor qilmang.</x:v>
      </x:c>
      <x:c r="G232" s="80" t="str"/>
      <x:c r="H232" s="80" t="str"/>
      <x:c r="I232" s="79" t="str">
        <x:v>Chorshanba kuni kechqurun soat ikkiga belgilangan vaqtni juma kuni ertalab soat o'ntaga o'tkazing va uni bekor qilmang.</x:v>
      </x:c>
      <x:c r="J232" s="80" t="str"/>
      <x:c r="K232" s="80" t="str"/>
      <x:c r="L232" s="80" t="str"/>
      <x:c r="M232" s="81" t="str"/>
      <x:c r="N232" s="82" t="str">
        <x:f>IF(F232=I232,"是","否")</x:f>
        <x:v>否</x:v>
      </x:c>
      <x:c r="O232" s="82" t="str">
        <x:f>IF(AND(G232&lt;&gt;"",J232&lt;&gt;""),"是","否")</x:f>
        <x:v>否</x:v>
      </x:c>
    </x:row>
    <x:row r="233" ht="54" customHeight="1">
      <x:c r="A233" s="78" t="str">
        <x:v>case-4b58c0e09a873230</x:v>
      </x:c>
      <x:c r="B233" s="78" t="str">
        <x:v>zh</x:v>
      </x:c>
      <x:c r="C233" s="78" t="str">
        <x:v>en</x:v>
      </x:c>
      <x:c r="D233" s="78" t="str">
        <x:v>日常</x:v>
      </x:c>
      <x:c r="E233" s="79" t="str">
        <x:v>这两杯都不要加糖，其中一杯少放冰。</x:v>
      </x:c>
      <x:c r="F233" s="79" t="str">
        <x:v>Don't add sugar to either of these cups, add ice cream to one.</x:v>
      </x:c>
      <x:c r="G233" s="80" t="str"/>
      <x:c r="H233" s="80" t="str"/>
      <x:c r="I233" s="79" t="str">
        <x:v>Don't add sugar to either of these glasses, add ice cream to one.</x:v>
      </x:c>
      <x:c r="J233" s="80" t="str"/>
      <x:c r="K233" s="80" t="str"/>
      <x:c r="L233" s="80" t="str"/>
      <x:c r="M233" s="81" t="str"/>
      <x:c r="N233" s="82" t="str">
        <x:f>IF(F233=I233,"是","否")</x:f>
        <x:v>否</x:v>
      </x:c>
      <x:c r="O233" s="82" t="str">
        <x:f>IF(AND(G233&lt;&gt;"",J233&lt;&gt;""),"是","否")</x:f>
        <x:v>否</x:v>
      </x:c>
    </x:row>
    <x:row r="234" ht="54" customHeight="1">
      <x:c r="A234" s="78" t="str">
        <x:v>case-79bbdfa77ea02d04</x:v>
      </x:c>
      <x:c r="B234" s="78" t="str">
        <x:v>uz</x:v>
      </x:c>
      <x:c r="C234" s="78" t="str">
        <x:v>ru</x:v>
      </x:c>
      <x:c r="D234" s="78" t="str">
        <x:v>售后</x:v>
      </x:c>
      <x:c r="E234" s="79" t="str">
        <x:v>Mahsulotni qaytarishni emas, boshqa o'lchamdagisiga almashtirishni xohlayman.</x:v>
      </x:c>
      <x:c r="F234" s="79" t="str">
        <x:v>Я хочу заменить продукт в другом размере, а не вернуть его обратно.</x:v>
      </x:c>
      <x:c r="G234" s="80" t="str"/>
      <x:c r="H234" s="80" t="str"/>
      <x:c r="I234" s="79" t="str">
        <x:v>Я хочу заменить продукт в другом размере, а не вернуть его обратно.</x:v>
      </x:c>
      <x:c r="J234" s="80" t="str"/>
      <x:c r="K234" s="80" t="str"/>
      <x:c r="L234" s="80" t="str"/>
      <x:c r="M234" s="81" t="str"/>
      <x:c r="N234" s="82" t="str">
        <x:f>IF(F234=I234,"是","否")</x:f>
        <x:v>是</x:v>
      </x:c>
      <x:c r="O234" s="82" t="str">
        <x:f>IF(AND(G234&lt;&gt;"",J234&lt;&gt;""),"是","否")</x:f>
        <x:v>否</x:v>
      </x:c>
    </x:row>
    <x:row r="235" ht="54" customHeight="1">
      <x:c r="A235" s="78" t="str">
        <x:v>case-e35483081e7ad43f</x:v>
      </x:c>
      <x:c r="B235" s="78" t="str">
        <x:v>ru</x:v>
      </x:c>
      <x:c r="C235" s="78" t="str">
        <x:v>zh</x:v>
      </x:c>
      <x:c r="D235" s="78" t="str">
        <x:v>出行</x:v>
      </x:c>
      <x:c r="E235" s="79" t="str">
        <x:v>Если поезд задержится больше чем на час, сообщите, пожалуйста, можно ли вернуть билет.</x:v>
      </x:c>
      <x:c r="F235" s="79" t="str">
        <x:v>如果列车延迟超过一个小时,请通知您是否可以退票。</x:v>
      </x:c>
      <x:c r="G235" s="80" t="str"/>
      <x:c r="H235" s="80" t="str"/>
      <x:c r="I235" s="79" t="str">
        <x:v>如果火车延迟超过一个小时,请通知您是否可以退票。</x:v>
      </x:c>
      <x:c r="J235" s="80" t="str"/>
      <x:c r="K235" s="80" t="str"/>
      <x:c r="L235" s="80" t="str"/>
      <x:c r="M235" s="81" t="str"/>
      <x:c r="N235" s="82" t="str">
        <x:f>IF(F235=I235,"是","否")</x:f>
        <x:v>否</x:v>
      </x:c>
      <x:c r="O235" s="82" t="str">
        <x:f>IF(AND(G235&lt;&gt;"",J235&lt;&gt;""),"是","否")</x:f>
        <x:v>否</x:v>
      </x:c>
    </x:row>
    <x:row r="236" ht="54" customHeight="1">
      <x:c r="A236" s="78" t="str">
        <x:v>case-702c641a04931a8c</x:v>
      </x:c>
      <x:c r="B236" s="78" t="str">
        <x:v>en</x:v>
      </x:c>
      <x:c r="C236" s="78" t="str">
        <x:v>zh</x:v>
      </x:c>
      <x:c r="D236" s="78" t="str">
        <x:v>工作学习</x:v>
      </x:c>
      <x:c r="E236" s="79" t="str">
        <x:v>Don't replace the original file. Save your changes as a separate copy.</x:v>
      </x:c>
      <x:c r="F236" s="79" t="str">
        <x:v>不要取代原始文件。将修改保存为单独复制。</x:v>
      </x:c>
      <x:c r="G236" s="80" t="str"/>
      <x:c r="H236" s="80" t="str"/>
      <x:c r="I236" s="79" t="str">
        <x:v>不要取代原始文件,把你的修改保存为单独的副本。</x:v>
      </x:c>
      <x:c r="J236" s="80" t="str"/>
      <x:c r="K236" s="80" t="str"/>
      <x:c r="L236" s="80" t="str"/>
      <x:c r="M236" s="81" t="str"/>
      <x:c r="N236" s="82" t="str">
        <x:f>IF(F236=I236,"是","否")</x:f>
        <x:v>否</x:v>
      </x:c>
      <x:c r="O236" s="82" t="str">
        <x:f>IF(AND(G236&lt;&gt;"",J236&lt;&gt;""),"是","否")</x:f>
        <x:v>否</x:v>
      </x:c>
    </x:row>
    <x:row r="237" ht="54" customHeight="1">
      <x:c r="A237" s="78" t="str">
        <x:v>case-cd72b5afeea7af33</x:v>
      </x:c>
      <x:c r="B237" s="78" t="str">
        <x:v>uz</x:v>
      </x:c>
      <x:c r="C237" s="78" t="str">
        <x:v>zh</x:v>
      </x:c>
      <x:c r="D237" s="78" t="str">
        <x:v>售后</x:v>
      </x:c>
      <x:c r="E237" s="79" t="str">
        <x:v>Yetkazib berish narxi ko'rsatilgan summaga kiradimi yoki alohida to'lanadimi?</x:v>
      </x:c>
      <x:c r="F237" s="79" t="str">
        <x:v>配送费包括指定金额还是单独支付?</x:v>
      </x:c>
      <x:c r="G237" s="80" t="str"/>
      <x:c r="H237" s="80" t="str"/>
      <x:c r="I237" s="79" t="str">
        <x:v>配送费包括指定金额还是单独支付?</x:v>
      </x:c>
      <x:c r="J237" s="80" t="str"/>
      <x:c r="K237" s="80" t="str"/>
      <x:c r="L237" s="80" t="str"/>
      <x:c r="M237" s="81" t="str"/>
      <x:c r="N237" s="82" t="str">
        <x:f>IF(F237=I237,"是","否")</x:f>
        <x:v>是</x:v>
      </x:c>
      <x:c r="O237" s="82" t="str">
        <x:f>IF(AND(G237&lt;&gt;"",J237&lt;&gt;""),"是","否")</x:f>
        <x:v>否</x:v>
      </x:c>
    </x:row>
    <x:row r="238" ht="54" customHeight="1">
      <x:c r="A238" s="78" t="str">
        <x:v>case-8090f3846e6ccb8b</x:v>
      </x:c>
      <x:c r="B238" s="78" t="str">
        <x:v>ru</x:v>
      </x:c>
      <x:c r="C238" s="78" t="str">
        <x:v>zh</x:v>
      </x:c>
      <x:c r="D238" s="78" t="str">
        <x:v>工作学习</x:v>
      </x:c>
      <x:c r="E238" s="79" t="str">
        <x:v>Срок сдачи перенесли с понедельника на среду, но время осталось прежним — 18:00.</x:v>
      </x:c>
      <x:c r="F238" s="79" t="str">
        <x:v>交付时间从周一推迟到周三,但时间仍然是旧的:六点钟。</x:v>
      </x:c>
      <x:c r="G238" s="80" t="str"/>
      <x:c r="H238" s="80" t="str"/>
      <x:c r="I238" s="79" t="str">
        <x:v>截止日期从周一推移到周三 但时间仍然系 18:00</x:v>
      </x:c>
      <x:c r="J238" s="80" t="str"/>
      <x:c r="K238" s="80" t="str"/>
      <x:c r="L238" s="80" t="str"/>
      <x:c r="M238" s="81" t="str"/>
      <x:c r="N238" s="82" t="str">
        <x:f>IF(F238=I238,"是","否")</x:f>
        <x:v>否</x:v>
      </x:c>
      <x:c r="O238" s="82" t="str">
        <x:f>IF(AND(G238&lt;&gt;"",J238&lt;&gt;""),"是","否")</x:f>
        <x:v>否</x:v>
      </x:c>
    </x:row>
    <x:row r="239" ht="54" customHeight="1">
      <x:c r="A239" s="78" t="str">
        <x:v>case-b9a8a6fcdbfc6baf</x:v>
      </x:c>
      <x:c r="B239" s="78" t="str">
        <x:v>ru</x:v>
      </x:c>
      <x:c r="C239" s="78" t="str">
        <x:v>en</x:v>
      </x:c>
      <x:c r="D239" s="78" t="str">
        <x:v>日常</x:v>
      </x:c>
      <x:c r="E239" s="79" t="str">
        <x:v>Анна передала документы Борису, а не мне. Уточните у него, где они сейчас.</x:v>
      </x:c>
      <x:c r="F239" s="79" t="str">
        <x:v>Anna handed over the documents to Boris, not to me.</x:v>
      </x:c>
      <x:c r="G239" s="80" t="str"/>
      <x:c r="H239" s="80" t="str"/>
      <x:c r="I239" s="79" t="str">
        <x:v>Anna handed over the documents to Boris, not to me.</x:v>
      </x:c>
      <x:c r="J239" s="80" t="str"/>
      <x:c r="K239" s="80" t="str"/>
      <x:c r="L239" s="80" t="str"/>
      <x:c r="M239" s="81" t="str"/>
      <x:c r="N239" s="82" t="str">
        <x:f>IF(F239=I239,"是","否")</x:f>
        <x:v>是</x:v>
      </x:c>
      <x:c r="O239" s="82" t="str">
        <x:f>IF(AND(G239&lt;&gt;"",J239&lt;&gt;""),"是","否")</x:f>
        <x:v>否</x:v>
      </x:c>
    </x:row>
    <x:row r="240" ht="54" customHeight="1">
      <x:c r="A240" s="78" t="str">
        <x:v>case-6e8bbd103b88527e</x:v>
      </x:c>
      <x:c r="B240" s="78" t="str">
        <x:v>zh</x:v>
      </x:c>
      <x:c r="C240" s="78" t="str">
        <x:v>uz</x:v>
      </x:c>
      <x:c r="D240" s="78" t="str">
        <x:v>工作学习</x:v>
      </x:c>
      <x:c r="E240" s="79" t="str">
        <x:v>文件已经保存，但还没有发送给客户，请不要重复发送。</x:v>
      </x:c>
      <x:c r="F240" s="79" t="str">
        <x:v>Fayl saqlangan, ammo hali mijozga jo'natilmagan, iltimos uni takroran jo'natmang.</x:v>
      </x:c>
      <x:c r="G240" s="80" t="str"/>
      <x:c r="H240" s="80" t="str"/>
      <x:c r="I240" s="79" t="str">
        <x:v>Fayl saqlangan, ammo hali mijozga yuborilmagan, iltimos uni takroran yubormang.</x:v>
      </x:c>
      <x:c r="J240" s="80" t="str"/>
      <x:c r="K240" s="80" t="str"/>
      <x:c r="L240" s="80" t="str"/>
      <x:c r="M240" s="81" t="str"/>
      <x:c r="N240" s="82" t="str">
        <x:f>IF(F240=I240,"是","否")</x:f>
        <x:v>否</x:v>
      </x:c>
      <x:c r="O240" s="82" t="str">
        <x:f>IF(AND(G240&lt;&gt;"",J240&lt;&gt;""),"是","否")</x:f>
        <x:v>否</x:v>
      </x:c>
    </x:row>
    <x:row r="241" ht="54" customHeight="1">
      <x:c r="A241" s="78" t="str">
        <x:v>case-27ae86ee40cee1f5</x:v>
      </x:c>
      <x:c r="B241" s="78" t="str">
        <x:v>ru</x:v>
      </x:c>
      <x:c r="C241" s="78" t="str">
        <x:v>en</x:v>
      </x:c>
      <x:c r="D241" s="78" t="str">
        <x:v>出行</x:v>
      </x:c>
      <x:c r="E241" s="79" t="str">
        <x:v>Если поезд задержится больше чем на час, сообщите, пожалуйста, можно ли вернуть билет.</x:v>
      </x:c>
      <x:c r="F241" s="79" t="str">
        <x:v>If the train is delayed for more than an hour, please let us know if the ticket can be returned.</x:v>
      </x:c>
      <x:c r="G241" s="80" t="str"/>
      <x:c r="H241" s="80" t="str"/>
      <x:c r="I241" s="79" t="str">
        <x:v>If the train is delayed for more than an hour, please let us know if the ticket can be returned.</x:v>
      </x:c>
      <x:c r="J241" s="80" t="str"/>
      <x:c r="K241" s="80" t="str"/>
      <x:c r="L241" s="80" t="str"/>
      <x:c r="M241" s="81" t="str"/>
      <x:c r="N241" s="82" t="str">
        <x:f>IF(F241=I241,"是","否")</x:f>
        <x:v>是</x:v>
      </x:c>
      <x:c r="O241" s="82" t="str">
        <x:f>IF(AND(G241&lt;&gt;"",J241&lt;&gt;""),"是","否")</x:f>
        <x:v>否</x:v>
      </x:c>
    </x:row>
  </x:sheetData>
  <x:conditionalFormatting sqref="G2:G241">
    <x:cfRule type="containsText" dxfId="0" priority="1" operator="containsText" text="DIRECT"/>
    <x:cfRule type="containsText" dxfId="1" priority="2" operator="containsText" text="EDIT"/>
    <x:cfRule type="containsText" dxfId="2" priority="3" operator="containsText" text="FAIL"/>
    <x:cfRule type="containsText" dxfId="3" priority="4" operator="containsText" text="UNJUDGEABLE"/>
  </x:conditionalFormatting>
  <x:conditionalFormatting sqref="J2:J241">
    <x:cfRule type="containsText" dxfId="4" priority="5" operator="containsText" text="DIRECT"/>
    <x:cfRule type="containsText" dxfId="5" priority="6" operator="containsText" text="EDIT"/>
    <x:cfRule type="containsText" dxfId="6" priority="7" operator="containsText" text="FAIL"/>
    <x:cfRule type="containsText" dxfId="7" priority="8" operator="containsText" text="UNJUDGEABLE"/>
  </x:conditionalFormatting>
  <x:dataValidations count="2">
    <x:dataValidation type="list" sqref="G2:G241">
      <x:formula1>"DIRECT,EDIT,FAIL,UNJUDGEABLE"</x:formula1>
    </x:dataValidation>
    <x:dataValidation type="list" sqref="J2:J241">
      <x:formula1>"DIRECT,EDIT,FAIL,UNJUDGEABLE"</x:formula1>
    </x:dataValidation>
  </x:dataValidations>
  <x:pageMargins left="0.7" right="0.7" top="0.75" bottom="0.75" header="0.3" footer="0.3"/>
  <x:tableParts count="1">
    <x:tablePart xmlns:r="http://schemas.openxmlformats.org/officeDocument/2006/relationships" r:id="R13d44f22af4e4ffd"/>
  </x:tableParts>
</x:worksheet>
</file>